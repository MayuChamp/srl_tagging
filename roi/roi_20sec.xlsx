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yearadany/Downloads/"/>
    </mc:Choice>
  </mc:AlternateContent>
  <xr:revisionPtr revIDLastSave="0" documentId="8_{D02C5C26-1B6B-524E-9D79-9B4C68B886A0}" xr6:coauthVersionLast="47" xr6:coauthVersionMax="47" xr10:uidLastSave="{00000000-0000-0000-0000-000000000000}"/>
  <bookViews>
    <workbookView xWindow="4860" yWindow="4160" windowWidth="26440" windowHeight="15440" xr2:uid="{426CCF77-5ABF-984F-A0C4-9B604A85771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37" i="1" l="1"/>
  <c r="F137" i="1" s="1"/>
  <c r="E136" i="1"/>
  <c r="F136" i="1" s="1"/>
  <c r="E135" i="1"/>
  <c r="F135" i="1" s="1"/>
  <c r="F134" i="1"/>
  <c r="E134" i="1"/>
  <c r="E133" i="1"/>
  <c r="F133" i="1" s="1"/>
  <c r="E132" i="1"/>
  <c r="F132" i="1" s="1"/>
  <c r="E131" i="1"/>
  <c r="F131" i="1" s="1"/>
  <c r="E130" i="1"/>
  <c r="F130" i="1" s="1"/>
  <c r="F129" i="1"/>
  <c r="E129" i="1"/>
  <c r="E128" i="1"/>
  <c r="F128" i="1" s="1"/>
  <c r="E127" i="1"/>
  <c r="F127" i="1" s="1"/>
  <c r="E126" i="1"/>
  <c r="F126" i="1" s="1"/>
  <c r="E125" i="1"/>
  <c r="F125" i="1" s="1"/>
  <c r="F124" i="1"/>
  <c r="E124" i="1"/>
  <c r="E123" i="1"/>
  <c r="F123" i="1" s="1"/>
  <c r="E122" i="1"/>
  <c r="F122" i="1" s="1"/>
  <c r="E121" i="1"/>
  <c r="F121" i="1" s="1"/>
  <c r="E120" i="1"/>
  <c r="F120" i="1" s="1"/>
  <c r="F119" i="1"/>
  <c r="E119" i="1"/>
  <c r="E118" i="1"/>
  <c r="F118" i="1" s="1"/>
  <c r="E117" i="1"/>
  <c r="F117" i="1" s="1"/>
  <c r="E116" i="1"/>
  <c r="F116" i="1" s="1"/>
  <c r="E115" i="1"/>
  <c r="F115" i="1" s="1"/>
  <c r="F114" i="1"/>
  <c r="E114" i="1"/>
  <c r="E113" i="1"/>
  <c r="F113" i="1" s="1"/>
  <c r="E112" i="1"/>
  <c r="F112" i="1" s="1"/>
  <c r="E111" i="1"/>
  <c r="F111" i="1" s="1"/>
  <c r="E110" i="1"/>
  <c r="F110" i="1" s="1"/>
  <c r="F109" i="1"/>
  <c r="E109" i="1"/>
  <c r="E108" i="1"/>
  <c r="F108" i="1" s="1"/>
  <c r="E107" i="1"/>
  <c r="F107" i="1" s="1"/>
  <c r="E106" i="1"/>
  <c r="F106" i="1" s="1"/>
  <c r="E105" i="1"/>
  <c r="F105" i="1" s="1"/>
  <c r="F104" i="1"/>
  <c r="E104" i="1"/>
  <c r="E103" i="1"/>
  <c r="F103" i="1" s="1"/>
  <c r="E102" i="1"/>
  <c r="F102" i="1" s="1"/>
  <c r="E101" i="1"/>
  <c r="F101" i="1" s="1"/>
  <c r="E100" i="1"/>
  <c r="F100" i="1" s="1"/>
  <c r="F99" i="1"/>
  <c r="E99" i="1"/>
  <c r="E98" i="1"/>
  <c r="F98" i="1" s="1"/>
  <c r="E97" i="1"/>
  <c r="F97" i="1" s="1"/>
  <c r="E96" i="1"/>
  <c r="F96" i="1" s="1"/>
  <c r="E95" i="1"/>
  <c r="F95" i="1" s="1"/>
  <c r="F94" i="1"/>
  <c r="E94" i="1"/>
  <c r="E93" i="1"/>
  <c r="F93" i="1" s="1"/>
  <c r="E92" i="1"/>
  <c r="F92" i="1" s="1"/>
  <c r="E91" i="1"/>
  <c r="F91" i="1" s="1"/>
  <c r="E90" i="1"/>
  <c r="F90" i="1" s="1"/>
  <c r="F89" i="1"/>
  <c r="E89" i="1"/>
  <c r="E88" i="1"/>
  <c r="F88" i="1" s="1"/>
  <c r="E87" i="1"/>
  <c r="F87" i="1" s="1"/>
  <c r="E86" i="1"/>
  <c r="F86" i="1" s="1"/>
  <c r="E85" i="1"/>
  <c r="F85" i="1" s="1"/>
  <c r="F84" i="1"/>
  <c r="E84" i="1"/>
  <c r="E83" i="1"/>
  <c r="F83" i="1" s="1"/>
  <c r="E82" i="1"/>
  <c r="F82" i="1" s="1"/>
  <c r="E81" i="1"/>
  <c r="F81" i="1" s="1"/>
  <c r="E80" i="1"/>
  <c r="F80" i="1" s="1"/>
  <c r="F79" i="1"/>
  <c r="E79" i="1"/>
  <c r="E78" i="1"/>
  <c r="F78" i="1" s="1"/>
  <c r="E77" i="1"/>
  <c r="F77" i="1" s="1"/>
  <c r="E76" i="1"/>
  <c r="F76" i="1" s="1"/>
  <c r="E75" i="1"/>
  <c r="F75" i="1" s="1"/>
  <c r="F74" i="1"/>
  <c r="E74" i="1"/>
  <c r="E73" i="1"/>
  <c r="F73" i="1" s="1"/>
  <c r="E72" i="1"/>
  <c r="F72" i="1" s="1"/>
  <c r="E71" i="1"/>
  <c r="F71" i="1" s="1"/>
  <c r="E70" i="1"/>
  <c r="F70" i="1" s="1"/>
  <c r="F69" i="1"/>
  <c r="E69" i="1"/>
  <c r="E68" i="1"/>
  <c r="F68" i="1" s="1"/>
  <c r="E67" i="1"/>
  <c r="F67" i="1" s="1"/>
  <c r="E66" i="1"/>
  <c r="F66" i="1" s="1"/>
  <c r="E65" i="1"/>
  <c r="F65" i="1" s="1"/>
  <c r="F64" i="1"/>
  <c r="E64" i="1"/>
  <c r="E63" i="1"/>
  <c r="F63" i="1" s="1"/>
  <c r="E62" i="1"/>
  <c r="F62" i="1" s="1"/>
  <c r="E61" i="1"/>
  <c r="F61" i="1" s="1"/>
  <c r="E60" i="1"/>
  <c r="F60" i="1" s="1"/>
  <c r="F59" i="1"/>
  <c r="E59" i="1"/>
  <c r="E58" i="1"/>
  <c r="F58" i="1" s="1"/>
  <c r="E57" i="1"/>
  <c r="F57" i="1" s="1"/>
  <c r="E56" i="1"/>
  <c r="F56" i="1" s="1"/>
  <c r="E55" i="1"/>
  <c r="F55" i="1" s="1"/>
  <c r="F54" i="1"/>
  <c r="E54" i="1"/>
  <c r="E53" i="1"/>
  <c r="F53" i="1" s="1"/>
  <c r="E52" i="1"/>
  <c r="F52" i="1" s="1"/>
  <c r="E51" i="1"/>
  <c r="F51" i="1" s="1"/>
  <c r="E50" i="1"/>
  <c r="F50" i="1" s="1"/>
  <c r="F49" i="1"/>
  <c r="E49" i="1"/>
  <c r="E48" i="1"/>
  <c r="F48" i="1" s="1"/>
  <c r="E47" i="1"/>
  <c r="F47" i="1" s="1"/>
  <c r="E46" i="1"/>
  <c r="F46" i="1" s="1"/>
  <c r="E45" i="1"/>
  <c r="F45" i="1" s="1"/>
  <c r="F44" i="1"/>
  <c r="E44" i="1"/>
  <c r="E43" i="1"/>
  <c r="F43" i="1" s="1"/>
  <c r="E42" i="1"/>
  <c r="F42" i="1" s="1"/>
  <c r="E41" i="1"/>
  <c r="F41" i="1" s="1"/>
  <c r="E40" i="1"/>
  <c r="F40" i="1" s="1"/>
  <c r="F39" i="1"/>
  <c r="E39" i="1"/>
  <c r="E38" i="1"/>
  <c r="F38" i="1" s="1"/>
  <c r="E37" i="1"/>
  <c r="F37" i="1" s="1"/>
  <c r="E36" i="1"/>
  <c r="F36" i="1" s="1"/>
  <c r="E35" i="1"/>
  <c r="F35" i="1" s="1"/>
  <c r="F34" i="1"/>
  <c r="E34" i="1"/>
  <c r="E33" i="1"/>
  <c r="F33" i="1" s="1"/>
  <c r="E32" i="1"/>
  <c r="F32" i="1" s="1"/>
  <c r="E31" i="1"/>
  <c r="F31" i="1" s="1"/>
  <c r="E30" i="1"/>
  <c r="F30" i="1" s="1"/>
  <c r="F29" i="1"/>
  <c r="E29" i="1"/>
  <c r="E28" i="1"/>
  <c r="F28" i="1" s="1"/>
  <c r="E27" i="1"/>
  <c r="F27" i="1" s="1"/>
  <c r="E26" i="1"/>
  <c r="F26" i="1" s="1"/>
  <c r="E25" i="1"/>
  <c r="F25" i="1" s="1"/>
  <c r="F24" i="1"/>
  <c r="E24" i="1"/>
  <c r="E23" i="1"/>
  <c r="F23" i="1" s="1"/>
  <c r="E22" i="1"/>
  <c r="F22" i="1" s="1"/>
  <c r="E21" i="1"/>
  <c r="F21" i="1" s="1"/>
  <c r="E20" i="1"/>
  <c r="F20" i="1" s="1"/>
  <c r="F19" i="1"/>
  <c r="E19" i="1"/>
  <c r="E18" i="1"/>
  <c r="F18" i="1" s="1"/>
  <c r="E17" i="1"/>
  <c r="F17" i="1" s="1"/>
  <c r="E16" i="1"/>
  <c r="F16" i="1" s="1"/>
  <c r="E15" i="1"/>
  <c r="F15" i="1" s="1"/>
  <c r="F14" i="1"/>
  <c r="E14" i="1"/>
  <c r="E13" i="1"/>
  <c r="F13" i="1" s="1"/>
  <c r="E12" i="1"/>
  <c r="F12" i="1" s="1"/>
  <c r="E11" i="1"/>
  <c r="F11" i="1" s="1"/>
  <c r="E10" i="1"/>
  <c r="F10" i="1" s="1"/>
  <c r="F9" i="1"/>
  <c r="E9" i="1"/>
  <c r="E8" i="1"/>
  <c r="F8" i="1" s="1"/>
  <c r="E7" i="1"/>
  <c r="F7" i="1" s="1"/>
  <c r="E6" i="1"/>
  <c r="F6" i="1" s="1"/>
  <c r="E5" i="1"/>
  <c r="F5" i="1" s="1"/>
  <c r="F4" i="1"/>
  <c r="E4" i="1"/>
  <c r="E3" i="1"/>
  <c r="F3" i="1" s="1"/>
  <c r="E2" i="1"/>
  <c r="F2" i="1" s="1"/>
</calcChain>
</file>

<file path=xl/sharedStrings.xml><?xml version="1.0" encoding="utf-8"?>
<sst xmlns="http://schemas.openxmlformats.org/spreadsheetml/2006/main" count="1688" uniqueCount="881">
  <si>
    <t>מזהה</t>
  </si>
  <si>
    <t>התיוג שלי | הצעה</t>
  </si>
  <si>
    <t>התחלה</t>
  </si>
  <si>
    <t>סיום</t>
  </si>
  <si>
    <t>משך בשניות</t>
  </si>
  <si>
    <t>כלל 15–20 שניות</t>
  </si>
  <si>
    <t>מוקד המקטע</t>
  </si>
  <si>
    <t>תמלול הכתוביות | ללא תיקון</t>
  </si>
  <si>
    <t>הסבר התיוג שלי</t>
  </si>
  <si>
    <t>ביטחון בפרשנות</t>
  </si>
  <si>
    <t>נדרש אימות או דיון</t>
  </si>
  <si>
    <t>הקשר מחוץ למקטע</t>
  </si>
  <si>
    <t>ליבת META בתוך המקטע</t>
  </si>
  <si>
    <t>מידת מפורשות</t>
  </si>
  <si>
    <t>הזדמנות מוחמצת | מועמד</t>
  </si>
  <si>
    <t>הצעה פדגוגית שלי</t>
  </si>
  <si>
    <t>זוגות להשוואה</t>
  </si>
  <si>
    <t>בדיקות פלט נמרוד</t>
  </si>
  <si>
    <t>מזהי שורות VTT</t>
  </si>
  <si>
    <t>תיוג מתייגת 1</t>
  </si>
  <si>
    <t>תיוג מתייגת 2</t>
  </si>
  <si>
    <t>הכרעה אנושית מוסכמת</t>
  </si>
  <si>
    <t>אימות אודיו ולוח</t>
  </si>
  <si>
    <t>RV001</t>
  </si>
  <si>
    <t>OTHER</t>
  </si>
  <si>
    <t>פתיחה והצגת השיעור</t>
  </si>
  <si>
    <t>סי טוב קודם כל שני שני דברים איזה כיף שאתה הייתי איזה כיף שאתה היית נגודה זהו לא מעבר לזה היום זה לא שיעור רגיל כלומר הוא כן יהיה שיעור רגיל כן תהיה הוראה הכי רגילה בדיוק מה שתכננתי אבל</t>
  </si>
  <si>
    <t>פתיחת השיעור והודעה שהוא יתקיים כרגיל. אין דרך למידה או תוכן מקצועי מפורטים.</t>
  </si>
  <si>
    <t>בינונית</t>
  </si>
  <si>
    <t>הקשר רציף זמין בחלון שלפני ובחלון שאחרי. הטקסט המסווג הוא רק המילים שחותמת תחילתן נמצאת בחלון הנוכחי.</t>
  </si>
  <si>
    <t>EX_NA</t>
  </si>
  <si>
    <t>לא זוהתה ראיה מספקת להזדמנות מוחמצת</t>
  </si>
  <si>
    <t>1, 3, 5, 7, 9, 11</t>
  </si>
  <si>
    <t>טרם אומת</t>
  </si>
  <si>
    <t>RV002</t>
  </si>
  <si>
    <t>הסבר על הצילום</t>
  </si>
  <si>
    <t>היום אנחנו מצולמים למען שיהיה הכל ברור וסדור אז הצילום הזה נועד לאיזשהו מחקר שמסדר חינוך מפעיל דרך חכוון פת אף אחד מכם לא יהיה בצולם לא בצורה כלומר זה זה סוג של תשטוש מפלט אין לי סודך אבל המטרה היא לא לצלם אתכם אלא לצלם אותי ואחר כך אתריסו</t>
  </si>
  <si>
    <t>הדיבור עוסק בצילום לצורכי מחקר ובמי יצולם. אין הוראת אסטרטגיה.</t>
  </si>
  <si>
    <t>גבוהה</t>
  </si>
  <si>
    <t>11, 13, 15, 17, 19, 21, 23</t>
  </si>
  <si>
    <t>RV003</t>
  </si>
  <si>
    <t>שותפות והתארגנות</t>
  </si>
  <si>
    <t>ואחר כך את נורא בסדר עכשיו אתם פשוט שותפים על הדבר הזה אז קודם כל תרגישו גים בעצמכם זה דבר שני שבעצם רצינו אתכם לתוך לדבר הזה ודבר נוסף שאני רוצה לומר לכם הדבר הנוסף זה שאנחנו באמת עושים שוב שנתקשר</t>
  </si>
  <si>
    <t>שיתוף הכיתה במסגרת הצילום ומעבר לנושא הבא. אין הוראת ויסות רגשי מעבר לפנייה כללית.</t>
  </si>
  <si>
    <t>23, 25, 27, 29, 31, 33, 35</t>
  </si>
  <si>
    <t>RV004</t>
  </si>
  <si>
    <t>פתיח למשוב על הבחינה</t>
  </si>
  <si>
    <t>למה ששלנו אז קודם כל הבחינות שלכם פה בסדר זאת אומרת מה שמפיע אותי שאתם כל כך מסתובבים פה אפילו לא את הבחינה שלו פרייל אתה יודע למה אבל אחרים לא בתוך הבחינה הזאת בתוך הבחינה הזאת עבדתם מאוד ממש טוב רק מה לא עדצה</t>
  </si>
  <si>
    <t>ניתן משוב כללי על העבודה בבחינה, אך עדיין אין דרך פעולה שניתן לזהות.</t>
  </si>
  <si>
    <t>35, 37, 39, 41, 43, 45</t>
  </si>
  <si>
    <t>RV005</t>
  </si>
  <si>
    <t>COG</t>
  </si>
  <si>
    <t>הצבת יעד של תכנון מעגל</t>
  </si>
  <si>
    <t>עכשיו אני אומר לא דקצה זה שני מתקבל עכשיו לעבוד באיזשהי חברה מצפה ממני אז לעשות שני דברים אחד לעשות תכנון מעגל טוב תכנון טוב של מעגל אני לא תחזר את זה לכולם ואם אני מספיק עשה תיתן אחד בשבילה כשבנו ואומרים לכם בואו תעשו לנו תכנון</t>
  </si>
  <si>
    <t>מוצגת דרישה לתכנון טוב של מעגל. קריטריון החיסכון והערכת דרך התכנון מתפתחים בחלון הבא.</t>
  </si>
  <si>
    <t>45, 47, 49, 51, 53, 55, 57, 59</t>
  </si>
  <si>
    <t>RV006</t>
  </si>
  <si>
    <t>META</t>
  </si>
  <si>
    <t>הערכת תכנון מעבר לתקינות</t>
  </si>
  <si>
    <t>עכשיו של מעגל חשמלי או מעגל אלקטרוני אתם לא יכולים לבזבז את הכשר של המפה שלכם כאילו כלום וזה מה שקרה בבחינה כלומר כל המעגלים שתכנתם כל המעגלים שתכנתם היו טובים כמעט בצורה מוחלטת אז מה היה שמה? בזבוז</t>
  </si>
  <si>
    <t>המעגלים מתוארים כטובים ובמקביל עולה ביקורת על בזבוז. מוקד השיחה הוא הערכת איכות התכנון מעבר לשאלה אם המעגל עובד.</t>
  </si>
  <si>
    <t>המשפט מתחיל ב RV005 ומסתיים ב RV007. מילת המושא אחרי לבזבז משובשת; כסף מפורש רק בהמשך.</t>
  </si>
  <si>
    <t>RV005 מתחילה תרחיש של תכנון מעגל; RV007 משלימה נוראי של כסף. התיוג נשען על ההבחנה בין מעגלים טובים לבזבוז, והרכיב המקומי מצומצם למה שנאמר כאן.</t>
  </si>
  <si>
    <t>01:43.960: אתם לא יכולים לבזבז</t>
  </si>
  <si>
    <t>EX_PART</t>
  </si>
  <si>
    <t>הצעה שלי: להראות שני מימושים תקינים ולבקש להשוות את המשאבים הנדרשים לכל אחד.</t>
  </si>
  <si>
    <t>61, 63, 65, 67, 69, 71</t>
  </si>
  <si>
    <t>RV007</t>
  </si>
  <si>
    <t>משוב על בזבוז כסף</t>
  </si>
  <si>
    <t>נוראי של כסף. לא החזיקו אותכם הרבה מדי זמן ברמה מבזבוז. אז מישהו כי מי לא כי במי אין עוד אחד? תפוס. בקיצור מה שעכשיו אנחנו יכולים לעשות זה לא ללמד אתכם איך לפתוח אלא מה לעשות</t>
  </si>
  <si>
    <t>המשפט משלים את ביקורת הבזבוז ומפנה להמשך עבודה על מה שכבר נפתר. זהו המשך רפלקציה על יעילות התכנון.</t>
  </si>
  <si>
    <t>החלון מתחיל באמצע המשפט על בזבוז ב RV006. אין לייחס לו את כל הרכיבים של הרצף.</t>
  </si>
  <si>
    <t>תחילת הביטוי בזבוז נמצאת בסוף RV006. בלי ההקשר זהו שבר משפט, ולכן אין להשתמש ביחידה הזאת כדוגמת עוגן עצמאית.</t>
  </si>
  <si>
    <t>02:00.200: נוראי של כסף</t>
  </si>
  <si>
    <t>הצעה שלי: לשאול מה בתכנון גרם לעלות הנוספת ואיך אפשר לזהות זאת בפעם הבאה.</t>
  </si>
  <si>
    <t>71, 73, 75, 77, 79, 81, 83</t>
  </si>
  <si>
    <t>RV008</t>
  </si>
  <si>
    <t>מעבר לשערים לוגיים</t>
  </si>
  <si>
    <t>עם מה שפתרתם. איך זה בא לידי ביטוי. האם אתם פה זה בסדר? יופי. מה אתם רואים פה על הדוח? איזה שעה זה? קסור ש קסור למה קסור יפה בסימוש שלו אלה השערים של נור וקסור שעליהם אני רוצה לדבר היום השערים נור</t>
  </si>
  <si>
    <t>המורה עובר לזיהוי השערים שעל הלוח. שמות השערים הם מושגי תוכן, לא שמות אסטרטגיה.</t>
  </si>
  <si>
    <t>A01; A02</t>
  </si>
  <si>
    <t>85, 87, 89, 91, 93, 95, 97</t>
  </si>
  <si>
    <t>RV009</t>
  </si>
  <si>
    <t>מאפייני חיבור שערים</t>
  </si>
  <si>
    <t>וקסור זה פעם שנייה שאני טועל מחדש השער קסור והשער קסור אלה שערים שמה שמאפר אותם זה שהחיבור שלהם לשער נעשה עם משהו שב מקדימה אחד לפני למה זה</t>
  </si>
  <si>
    <t>תיאור של שערים וחיבורים. שאלת למה חשובה מתייחסת לרכיב ולחיבור, ללא דרך למידה מפורשת.</t>
  </si>
  <si>
    <t>נמוכה</t>
  </si>
  <si>
    <t>A02</t>
  </si>
  <si>
    <t>99, 101, 103, 105, 107, 109</t>
  </si>
  <si>
    <t>RV010</t>
  </si>
  <si>
    <t>תפקיד הפינים</t>
  </si>
  <si>
    <t>חשוב? זה חשוב מבחינת הזמי של ואתם מקבלים עכשיו שער כזה מה אנחנו רואים בשער הזה? קודם כל ה1 וה7ב מה התפקיד שלהם? מה זה אומר? מכבל את המגב. מה זה אומר? צר אותו להעביר ז ש כל מה שצ נכון אבל לא לא ספירה</t>
  </si>
  <si>
    <t>שאלות על תפקידי חלקים בשער. מה זה אומר היא שאלת תוכן, ולא דרך לניטור עצמי.</t>
  </si>
  <si>
    <t>109, 111, 113, 115, 117, 119, 121, 123, 125</t>
  </si>
  <si>
    <t>RV011</t>
  </si>
  <si>
    <t>אספקת מתח והיקף הבחינה</t>
  </si>
  <si>
    <t>את הפינה שיהיה זרם בתוך המעגל יפה מאוד יפה מאוד זה הספקה של מתח על מנת שיהיה לי זרם במעגל עד זה כ אנחנו מתייחסים את זה בבחינה לא מעניין אותי זהירה בבחינה לא מעניין אותי בחירה כלומר זה דבר שמתחבר ושלום על ישראל החלק שלכם מתחיל פה מאלה אזות</t>
  </si>
  <si>
    <t>מוסבר הצורך במתח ובזרם, לצד הבהרה מה רלוונטי לבחינה. אין אסטרטגיית תכנון למידה.</t>
  </si>
  <si>
    <t>A03</t>
  </si>
  <si>
    <t>125, 127, 129, 131, 133, 135, 137, 139</t>
  </si>
  <si>
    <t>RV012</t>
  </si>
  <si>
    <t>פינים, כניסות ויציאה</t>
  </si>
  <si>
    <t>של 1 2 3 אוקיי אגב מקפיצים את זה זה זה שתבין מה שעושים בערב זה מה שיש פה על הלו אוקיי תסתכלו על זה עכשיו מה שקורה כרגע זה שאני יודע שהכניסות שלי יהיו אחד ושתיים היציאה תהיה שלוש אלון זה וזה</t>
  </si>
  <si>
    <t>הפניה לציור ולמספרי כניסות ויציאה. זהו תוכן וביצוע בתרשים הנוכחי.</t>
  </si>
  <si>
    <t>A03; A04</t>
  </si>
  <si>
    <t>139, 141, 143, 145, 147, 149</t>
  </si>
  <si>
    <t>RV013</t>
  </si>
  <si>
    <t>שילוב הרכיב במעגל</t>
  </si>
  <si>
    <t>כניסה או יציאה כניסה יפה ומה היציאה שש האם זה ברור מה אני בעצם עושה עם זה אני מחבר את זה לתוך התרגיל שלנו לתוך המעגל שלנו מה מיוחד לזה זה כן מודק לא לא בגלל הקריטה הזאת אדום לסבול</t>
  </si>
  <si>
    <t>זיהוי כניסות ויציאות והסבר שהרכיב מחובר לתרגיל. אין קריטריון לבחירת דרך פתרון.</t>
  </si>
  <si>
    <t>A04</t>
  </si>
  <si>
    <t>149, 151, 153, 155, 157, 159</t>
  </si>
  <si>
    <t>RV014</t>
  </si>
  <si>
    <t>שיחה צדדית וחזרה</t>
  </si>
  <si>
    <t>עליו נכנס לדורי סובל יותר מיוחד תעמיד הוא בא סרוד אני לא מבין אותו מה באת סוד הלאה אני חוזר סליחה שב אם קשה לך צארים תעשו כל דוק כמוו כולם אפשר לצאת ולהיכנס לא צריך להיות ש אני חוזר</t>
  </si>
  <si>
    <t>הקטע משובש ברובו ומסתיים בחזרה להסבר. אין מספיק תוכן מובן לתיאור הוראה מקצועית.</t>
  </si>
  <si>
    <t>159, 161, 163, 165, 167, 169, 171, 173</t>
  </si>
  <si>
    <t>RV015</t>
  </si>
  <si>
    <t>מימוש באמצעות רכיבים</t>
  </si>
  <si>
    <t>מה שאני בעצם מנסה עכשיו להראות לכם זה את החיבור של הדברים האלה של המיקרופוסורים האלה או בשפה שלנו ההוב לקרוא לזה ג'וקי איך אני בעצם מחבר אותם לתוך התשובה שלכם כי זה לא באופן אוטומטי כל יתר השערים אם זה נוט ברור מאליו מהפך</t>
  </si>
  <si>
    <t>מוצג הקשר בין רכיבים פיזיים לתשובה במעגל. השאלה איך מחברים אינה כוללת בחלון זה הוראה של שיטת עבודה.</t>
  </si>
  <si>
    <t>173, 175, 177, 179, 181, 183</t>
  </si>
  <si>
    <t>RV016</t>
  </si>
  <si>
    <t>הבדל בין סוגי שערים</t>
  </si>
  <si>
    <t>אם זה אנ ברור מאליו חיבור טובי אם זה אור ברור מעליו חיבור מקבילי הכל קל נכון ואז באים א שני השרים האלה שלא נמצאים בתוך המעל החשיבתי שלנו אבל כן נמצאים בתוך המעגלים האלקטרוניים שאני חייב להתייחס אליהם. האם עד פה זה בסדר?</t>
  </si>
  <si>
    <t>הסבר על שערים המוכרים לתלמידים ועל רכיבים במעגל האלקטרוני. אין דרך בדיקה שמוסברת לתלמידים.</t>
  </si>
  <si>
    <t>185, 187, 189, 191, 193, 195, 197</t>
  </si>
  <si>
    <t>RV017</t>
  </si>
  <si>
    <t>הזמנה לשאלות</t>
  </si>
  <si>
    <t>בטוח שאלות. מה? מה זה השקט הזה? שאלות זה בטוח ברור לך? יפה אז אני רוצה עכשיו לבוא ולהתייחס לבחינה שלי. זה סגור שכך נראה עכשיו? זה סגור שמה שאתם רואים פה אני נמצא אצלכם בעליים. כן. יופי.</t>
  </si>
  <si>
    <t>בירור כללי אם הדברים ברורים ואם החומר נמצא אצל התלמידים. בדיקת המורה אינה הוראת בדיקה עצמית.</t>
  </si>
  <si>
    <t>199, 201, 203, 205, 207, 209</t>
  </si>
  <si>
    <t>RV018</t>
  </si>
  <si>
    <t>מטריצה ומדידות במעבדה</t>
  </si>
  <si>
    <t>אגב, את זה אתם מעלים על מטריצות. את זה אתם מעלים על המטריצה השנה לא הסיפור לעשות את זה אולי שנה הבאה ואם לא את זה נעשה משהו יותר מוכר בשנה הבאה מעלים על מטריצה ועושים את כל ה בעצם את המגידות שלנו לגבי תפקוד המעגל עכשיו</t>
  </si>
  <si>
    <t>מוזכרים בנייה על מטריצה ומדידות לתפקוד המעגל, לצד תכנון פעילות עתידית. לא נמסרים צעדים לבדיקה עצמאית.</t>
  </si>
  <si>
    <t>A05</t>
  </si>
  <si>
    <t>209, 211, 213, 215, 217, 219</t>
  </si>
  <si>
    <t>RV019</t>
  </si>
  <si>
    <t>שאלה על מטרת המטריצה</t>
  </si>
  <si>
    <t>או תיש או תצא תחליט הוא לא תלמיד שלי שהוא כן או למה רציתי את זה זהו זה למה רציתי פוץ דבר אה מה המטרה שזה במתצה אני אגיד לך מה המטרה שקצה אתה רואה</t>
  </si>
  <si>
    <t>השאלה מתייחסת לתפקיד אמצעי העבודה המוצג. המטרה של האמצעי אינה כשלעצמה מטרה של אסטרטגיית למידה.</t>
  </si>
  <si>
    <t>221, 223, 225, 227, 229</t>
  </si>
  <si>
    <t>RV020</t>
  </si>
  <si>
    <t>מעגל מודפס והלחמות</t>
  </si>
  <si>
    <t>את זה אתה רואה את זה שמה זה מעגל מודפס את יודע מה מיוחד בו שהכל עלחמות לחקסים בטח הכל עלחמות אז אם אני כבר מראה לכם אני אראה לכם את הצ'וטו שמה על זה</t>
  </si>
  <si>
    <t>תיאור המבנה וההלחמות במעגל המודפס. עדיין אין בחירה מנומקת בין דרכי עבודה.</t>
  </si>
  <si>
    <t>P01</t>
  </si>
  <si>
    <t>A06</t>
  </si>
  <si>
    <t>229, 231, 233, 235, 237, 239, 241</t>
  </si>
  <si>
    <t>RV021</t>
  </si>
  <si>
    <t>בחירת תשתית לפי שימוש חוזר</t>
  </si>
  <si>
    <t>מסתכל עליי הכל על חמוד זאת אומרת סיברת סגרת אתה לא יכול עכשיו לעשות שינוי אותו מיקרופרוסור שמיש לך פעם אחת בלבד אוקיי זה כשאני מוכר מוצר ואני אעשה את זה אבל כשאני אמצא איתך עכשיו פה במעמדה כשאני אמצא איתך עכשיו פה במעמדה אני רוצה להשתמש במיקרוססור הזה מספר שיעורים אז לכן אני לא</t>
  </si>
  <si>
    <t>מוצבת השוואה בין מוצר מולחם שקשה לשנות לבין עבודה במעבדה עם שימוש חוזר ברכיב. נלמד קריטריון לבחירה בדרך עבודה.</t>
  </si>
  <si>
    <t>סיום החלופה של הנחה על מטריצה נמצא ב RV022. אין לזקוף אותו כרכיב איך בתוך RV021.</t>
  </si>
  <si>
    <t>RV020 מציגה מעגל מודפס עם הלחמות. RV022 משלימה את פעולת ההנחה על מטריצה. הפעולה שלאחר הגבול לא נספרה כאן כרכיב איך.</t>
  </si>
  <si>
    <t>06:52.000: כשאני אמצא איתך עכשיו פה במעמדה
06:56.520: אני רוצה להשתמש במיקרוססור הזה מספר שיעורים
06:44.960: אתה לא יכול עכשיו לעשות שינוי</t>
  </si>
  <si>
    <t>EX_EXPL</t>
  </si>
  <si>
    <t>הצעה שלי: לבקש מהתלמידים לבחור דרך חיבור למוצר סופי ולעומת זאת לניסוי שצפוי להשתנות, ולנמק לפי אפשרות השימוש החוזר.</t>
  </si>
  <si>
    <t>A06; A07</t>
  </si>
  <si>
    <t>241, 243, 245, 247, 249, 251, 253, 255, 257</t>
  </si>
  <si>
    <t>RV022</t>
  </si>
  <si>
    <t>יישום הבחירה וזיהוי רכיבים</t>
  </si>
  <si>
    <t>מלכים אותם אני פשוט מניח אותם על המפיצה ומשתמש בחוט אתה רואה את הבלגה שיש מאחור זה אסתרות הבלאגן רואה את החוטים האלה אז זה החוטים שמקברים למטריצה יקרים מישהו כאן יכול לזהות את המיקרופוסור שעכשיו דיברתי עליו? כן. זה מה זה באמצע? זה יפה מאוד. כולם רואים את המיקרופוס. אתם</t>
  </si>
  <si>
    <t>בתחילה מושלמת הבחירה במטריצה, ובהמשך מזוהים חוטים ורכיב. מוקד החלון הוא האמצעים והחפצים, ללא פירוט נוסף של קריטריון הבחירה.</t>
  </si>
  <si>
    <t>מושלם כאן משפט מבחירת התשתית ב RV021, אך רוב החלון עוסק בחוטים וברכיב.</t>
  </si>
  <si>
    <t>A07</t>
  </si>
  <si>
    <t>257, 259, 261, 263, 265, 267, 269, 271, 273</t>
  </si>
  <si>
    <t>RV023</t>
  </si>
  <si>
    <t>דוגמה ממעגל בקרה של מזגן</t>
  </si>
  <si>
    <t>יודעים מה זה המעגל הזה? זה של המזגן. הוא נשרף זה המעגל בקרה של המזגן. אוקיי? אז רק מראה לכם שבכל דבר נמצא את הדברים האלה לכן חשוב לעבוד בתורה מאוד מאוד מסוד. הלאה. אז עכשיו מה שאני רוצה לעשות זה את הדבר הבא. קודם כל לפני שאני את הבנה עצמה קבל את המלך</t>
  </si>
  <si>
    <t>מוסבר שימוש ממשי של הרכיבים. ההמלצה לעבוד מסודר כללית ואינה מפרטת דרך ארגון של הלמידה.</t>
  </si>
  <si>
    <t>A08</t>
  </si>
  <si>
    <t>275, 277, 279, 281, 283, 285, 287</t>
  </si>
  <si>
    <t>RV024</t>
  </si>
  <si>
    <t>הפניה לשער הבא</t>
  </si>
  <si>
    <t>מה שאני רוצה עכשיו לעשות זה להתייחס לשערים האלה מה יש לי בשערים האלה עוד אחד צריך לא צריך כשאני בא ואומר אני מצביע עכשיו על שר שנקרא</t>
  </si>
  <si>
    <t>המורה מפנה לייצוג של שער. אין אסטרטגיה שניתן לזהות מהטקסט המועט.</t>
  </si>
  <si>
    <t>289, 291, 293, 295, 297, 299</t>
  </si>
  <si>
    <t>RV025</t>
  </si>
  <si>
    <t>הבדל בין שער לגרסה מהפכת</t>
  </si>
  <si>
    <t>קסור זה הראשון ונדקס notקס זה אותו שר בדיוק רק שיש לו מהפך בקצה שימו לב אותו ציול בדיוק רק בקצה יש לו מהפך אני בעצם מתייחס לשלי מצבים מאוד התפלות</t>
  </si>
  <si>
    <t>מתוארים הדמיון בציור והמהפך בקצה. זהו הסבר תוכן.</t>
  </si>
  <si>
    <t>299, 301, 303, 305, 307, 309</t>
  </si>
  <si>
    <t>RV026</t>
  </si>
  <si>
    <t>שימושים של שערים</t>
  </si>
  <si>
    <t>היותר שימושים שיש למה יותר שימושים כי משמשים אותו סליחה חסכוני חיסכוני זה נכון מדבר עכשיו על השימוש כי הם משמשים אותנו בעיקר למעלה הבטחה כאשר אתה מפעיל מצלמות אה גיד אתה עכשיו א זה אני רואה שהתאבתם מזה אתם מפעילים מצלמות</t>
  </si>
  <si>
    <t>מוסברים יישומים של שערים במערכות. למה שימושיים מתייחס לתוכן הטכנולוגי ולא לאסטרטגיה.</t>
  </si>
  <si>
    <t>309, 311, 313, 315, 317, 319, 321</t>
  </si>
  <si>
    <t>RV027</t>
  </si>
  <si>
    <t>מערכות אבטחה וקודים</t>
  </si>
  <si>
    <t>בדקן אתם רוצים להגיע למצב שבו א הם מביאים מראת הבטחה נגיד לאוטו למשרד לבית ספר א כאשר אני אעשה קודים לכרטיס אשראי אלה דברים שהם לאמות ששם לנו עכשיו מה שקורה זה כאשר אני בא ומכניס לו כניסה פה כאן</t>
  </si>
  <si>
    <t>דוגמאות לשימושי שערים ומעבר לכניסות במעגל. אין הוראה על בחירת דרך לפתרון בעיה.</t>
  </si>
  <si>
    <t>321, 323, 325, 327, 329, 331</t>
  </si>
  <si>
    <t>RV028</t>
  </si>
  <si>
    <t>ביטוי הפלט</t>
  </si>
  <si>
    <t>אני מכניס A ו-B מה יוצא לי בפועל פה החוצה ‏A a a ועוד a מה בעצם זה אומר הדבר הזה? Aה מה זה אומר שאתה רואה את זה? מה אתה מה אתה רואה</t>
  </si>
  <si>
    <t>התייחסות ל A ול B ולביטוי היוצא מהשער. זהו ביצוע של התרגיל.</t>
  </si>
  <si>
    <t>331, 333, 335, 337, 339, 341, 343, 345, 347, 349</t>
  </si>
  <si>
    <t>RV029</t>
  </si>
  <si>
    <t>משמעות הערך אחד</t>
  </si>
  <si>
    <t>פה? כן מה זה אומר? אחד לא אתה אומר אחד זה בדיוק הפחיד אני גאה בך למה כי אתה לא למדתי את זה ואתה זרות דברים שהם כמעט נכונים זה מדהים החבר'ה האלה הם לא חלק אינטגרלי מהיתה שלי כיתה אחרת פשוט אני רציתי להראות את הכיתה מדהים מה שאתה אומר עכשיו מה זה בעצם אחד</t>
  </si>
  <si>
    <t>השיח מברר מה אומר אחד בהקשר הפונקציה, לצד משוב לתלמיד. אין דרך חשיבה מוסברת.</t>
  </si>
  <si>
    <t>349, 351, 353, 355, 357, 359, 361, 363</t>
  </si>
  <si>
    <t>RV030</t>
  </si>
  <si>
    <t>תנאים לפלט אחד</t>
  </si>
  <si>
    <t>כן כן תודה תודה רבה תודה רבה מה אני בעצם אומר אומר לי רק תזכיר את השם בכלל לא מה אומר השאירו אומר לי זה נותן לי אחד אני אשאר בסגול כשהוא גם ישאר אחד באיזה מצבים זה ישאר אחד אגב האחד הזה זה</t>
  </si>
  <si>
    <t>השאלה באילו מצבים הפלט נשאר אחד היא על פעולת הפונקציה, ולא על מתי לבחור באסטרטגיה.</t>
  </si>
  <si>
    <t>365, 367, 369, 371, 373</t>
  </si>
  <si>
    <t>RV031</t>
  </si>
  <si>
    <t>פונקציה ותשובת תלמיד</t>
  </si>
  <si>
    <t>כל המטרה האחד הזה זה כל המטרה פה אני כותב f האם מבט את הפונקציה בקיצור מה אני מקבל פה שאחד יעבוד יודע תגיד בכל רב שצריך שאחד יעבוד יפה מאוד והשני לא צריך לא חל יפה לא לא לא השני לא לא לא לא לא</t>
  </si>
  <si>
    <t>מזוהים F ומשמעותו ונבחנת תשובת תלמיד על פעולת המעגל. מוקד הדברים תוכני.</t>
  </si>
  <si>
    <t>373, 375, 377, 379, 381, 383, 385, 387, 389, 391</t>
  </si>
  <si>
    <t>RV032</t>
  </si>
  <si>
    <t>תיקון תנאי הכניסות</t>
  </si>
  <si>
    <t>תעצור תעצור אמרת התחלת טוב תקלת קצת זה לא שני לא חייב זה חייב שאחד יהיה במצב אחד וחייב שהשני במצב אפס זה לא רשות אחרת גם במצב האחור אני לא קינתי את המצבים אחרת גם המצב האחור הרי מה זה כאן 01 1 0 1</t>
  </si>
  <si>
    <t>מתוקנת הטענה על כניסה אחת ושנייה באמצעות צירוף של אחד ואפס. עצור אינו מספיק לקביעת META.</t>
  </si>
  <si>
    <t>391, 393, 395, 397, 399, 401</t>
  </si>
  <si>
    <t>RV033</t>
  </si>
  <si>
    <t>השלמת שני צירופי קלט</t>
  </si>
  <si>
    <t>אוקיי כלומר מה שאני בעצם מבטל דרך הפונקציה זה שa באפס וb באיזה מצב אחד אז פה זה עובד אוקיי והמצב האחר a ב1 וb בא0 איך שאתה אם אתה רוצה להכנס מה זה סמח לא מתמטיקה הצמטיקה</t>
  </si>
  <si>
    <t>המורה והתלמידים משלימים את ערכי A ו B בשני מצבים. זהו יישום תוכני.</t>
  </si>
  <si>
    <t>401, 403, 405, 407, 409, 411</t>
  </si>
  <si>
    <t>RV034</t>
  </si>
  <si>
    <t>תיאום בין שיעורים</t>
  </si>
  <si>
    <t>כל עכשיו זה אפס תקשיב שמה עכשיו רגע זה אנחנו מוצ אז תחליט רוצה אינטרנס סבבה רוצה יכול לצנו לצורך העניין לא ויטלכם היום רק הפכנו בין השיעורים כתבתי לכם את זה בבוק זאת אומרת אף אחד מזה אף</t>
  </si>
  <si>
    <t>הרצף עוסק בהשתתפות ובהחלפה בין שיעורים. אין ראיה ברורה לדרך פתרון או לקושי מקצועי שמפותח.</t>
  </si>
  <si>
    <t>411, 413, 415, 417, 419, 421, 423, 425</t>
  </si>
  <si>
    <t>RV035</t>
  </si>
  <si>
    <t>תיקון טענה באמצעות מצב סותר</t>
  </si>
  <si>
    <t>אחד לא נגד מזה שהוא נמצא פה סגרנו סגרנו עכשיו תסתכל מה אתה רואה פה אלה שני המצבים שעובדים לפי הטיור שלך גם המצב הזה היה אמור לעבוד אתה מבין וזה לא נכון לפני המצבים האחרים זה אפס כאשר אומרים ליג</t>
  </si>
  <si>
    <t>מוצבע על מצב שלפי טענת התלמיד היה צריך לעבוד. אין ניסוח של שיטת בדיקה חוזרת בחלון עצמו.</t>
  </si>
  <si>
    <t>ייתכן META מרומז של בדיקת טענה באמצעות מקרה סותר. אי אפשר לאמת את ההדגמה בלוח.</t>
  </si>
  <si>
    <t>425, 427, 429, 431, 433, 435, 437</t>
  </si>
  <si>
    <t>RV036</t>
  </si>
  <si>
    <t>פעולת ההיפוך והטבלה</t>
  </si>
  <si>
    <t>למה מתכוונים זה מהפך אותו מה זה אומר מהפך אותו מפס לאחד מאחד יפה מאוד אז אתה יכול בלי להבין לקרוא את הזעה החדשה את המפה החדשה קדימה תראי אתה רק מינים אני יש פה מספרים</t>
  </si>
  <si>
    <t>מוסבר המעבר מאפס לאחד ולהפך, ואז מופנית הכיתה לטבלה. הניסוח על קריאה בלי להבין אינו ברור מספיק כדי לקודד דרך למידה.</t>
  </si>
  <si>
    <t>437, 439, 441, 443, 445, 447, 449, 451</t>
  </si>
  <si>
    <t>RV037</t>
  </si>
  <si>
    <t>בירור ערכי פלט</t>
  </si>
  <si>
    <t>1 מציעין למה מה בעצם הוא עשה כבר כזה לא הבנתי תעמי לי לפיתה ב ש בית ספר של הבן שמין כולם מבינים פה זה אפס פה זה יהיה לא אבל כאילו למה פה זה אפס, פה זה אחד, אבל למה זה ככה? בגלל זה</t>
  </si>
  <si>
    <t>שאלות על ערכי אפס ואחד והסבר מקומי משובש. לא מזוהה דרך בדיקה עצמית.</t>
  </si>
  <si>
    <t>453, 455, 457, 459, 461, 463, 465, 467</t>
  </si>
  <si>
    <t>RV038</t>
  </si>
  <si>
    <t>הבחנה בין כניסה להיפוך</t>
  </si>
  <si>
    <t>כן אני חדש זה לא באמת זה שמהפך יודע שאתה לא סבבה הכל בסדר אתה לא אתה לא נפגל חלילה אתה לא מת פשוט מהפך את הזה בדיוק אז למה כמה מצ כמה מצב יש לנו הכל פועל לא פועל למה A וB לאשתמש A ו-B זה הגורם שאתה מפעיל A ו-B זה יכול להיות המפסק שלך A ו-B זה</t>
  </si>
  <si>
    <t>מבוררת משמעות ההיפוך ומוצגת הכניסה כמפסק. זו המחשה מושגית.</t>
  </si>
  <si>
    <t>469, 471, 473, 475, 477, 479, 481, 483, 485</t>
  </si>
  <si>
    <t>RV039</t>
  </si>
  <si>
    <t>המחשת מצב כניסה</t>
  </si>
  <si>
    <t>יכול להיות הכפתור על הטלפון הניט שלך A אלה הכניסות אתה מבין נגיד פה רגע דוגמה שנייה נגיד כרגע המצב כרגע המצב שלא אפס או אחד של המפסקים לך אפס אחד א אז נגיד נגיד זה מכובד זה יאללה זה שאלת לנו</t>
  </si>
  <si>
    <t>A ו B מוסברים באמצעות כפתורים ומפסקים. אין בחירה בין אסטרטגיות.</t>
  </si>
  <si>
    <t>485, 487, 489, 491, 493, 495, 497, 499</t>
  </si>
  <si>
    <t>RV040</t>
  </si>
  <si>
    <t>שיום כניסה ויציאה</t>
  </si>
  <si>
    <t>כלומר מה שאנחנו בעצם עושים אנחנו בעצם מתארים את המצב של הכניסה בסדר שאני שאלתי קודם את הלות כניסה ביציאה אנחנו נוהגים כל זה משימה באנגלית אבל מקפידים על זה אחד זה אינפוט שזה כניסה והשני זהטפוט יציאה</t>
  </si>
  <si>
    <t>Input ו Output הם שמות של מושגים. שיום כזה אינו שיום אסטרטגיה.</t>
  </si>
  <si>
    <t>P16</t>
  </si>
  <si>
    <t>501, 503, 505, 507, 509, 511</t>
  </si>
  <si>
    <t>RV041</t>
  </si>
  <si>
    <t>הבחנה בין A ו B לבין F</t>
  </si>
  <si>
    <t>בסדר למה אני כותב לכם את זה מאמית והתגשות כי לא תראו אף פעם בשום רכיב אף פעם אוקיי אז מה בעצם אני רואה פה את a ו-Bות שלנו ואני רואה כאן את F שז היציאה שלי בסדר אז מה שמשתנה זה רק זו רק היציאה לעומת זאת בכניסות</t>
  </si>
  <si>
    <t>המורה מתאר מה משתנה ביציאה לעומת הכניסות. ההסבר ממוקד במבנה הפונקציה.</t>
  </si>
  <si>
    <t>513, 515, 517, 519, 521, 523</t>
  </si>
  <si>
    <t>RV042</t>
  </si>
  <si>
    <t>מצבי כניסה ומאפייני שערים</t>
  </si>
  <si>
    <t>יש לי את המצב הראשון השני השלישי הרביעי וזה וזה במפה הזה האם אני פה זה בסדר מה מיוחד בשערים האלה? הראשון אמרנו שהם לא מופיעים במעגלים חשמליים אלא רק במעגלים אלקטרוניים. השני שמיוחד בהם שאנחנו לא פוגשים אותם מידית. מה זה אומר לא פוגש</t>
  </si>
  <si>
    <t>מתוארים מצבי הטבלה ומאפייני שערים אלקטרוניים. טרם נאמרת דרך זיהוי או בחירה.</t>
  </si>
  <si>
    <t>523, 525, 527, 529, 531, 533, 535, 537</t>
  </si>
  <si>
    <t>RV043</t>
  </si>
  <si>
    <t>NAND ו NOR</t>
  </si>
  <si>
    <t>אותם מידית? אם למשל אני עכשיו בא אם עכשיו אני בא ואומר שער זכו לי שער כלשהו סתם ננט נדיה הראשון נעשה גם נור לטובת שלא תרגישו זה אז מה אני מקבל פה שרנת שהFי שווה למה ל b גשני</t>
  </si>
  <si>
    <t>מתבקשים שמות שערים ונוסחאות. זהו זיהוי תוכן, אף שיש בו שאלות ותגובות.</t>
  </si>
  <si>
    <t>537, 539, 541, 543, 545, 547</t>
  </si>
  <si>
    <t>RV044</t>
  </si>
  <si>
    <t>מימוש ביחידה אחת ופתיח לקושי</t>
  </si>
  <si>
    <t>מסכימים מה קיבלתי את זה בתור יחידה אחת בתור יחידה אחת ועכשיו כאן קיבלתי f שו ל+וד גב מה קיבלתי יחידה אחת ופה השוני ופה הראשי לזהות כלומר שאתם בבחינה רואים דבר כזה</t>
  </si>
  <si>
    <t>רוב החלון עוסק בתוצאה של המימוש; בסופו נפתח דיון בקושי לזהות. הפתיח מתפתח להוראת הדרך ב RV045.</t>
  </si>
  <si>
    <t>הפתיח על קושי בזיהוי מתפתח ב RV045. אין להסיק החמצה מן החיתוך.</t>
  </si>
  <si>
    <t>לא סומנה החמצה: לפתיח יש המשך בחלונות הסמוכים.</t>
  </si>
  <si>
    <t>547, 549, 551, 553, 555, 557</t>
  </si>
  <si>
    <t>RV045</t>
  </si>
  <si>
    <t>רפלקציה על זיהוי אוטומטי</t>
  </si>
  <si>
    <t>מיד קופץ לכם אה זה נט בום מלישים את השער פה מה אני רואה אני רואה שני גורמים שונים זה הראשון רובכם לצערי רובכם מה עשיתם לקחתם את זה כמו שזה והנה פה אני חובר לפניה שלכם לקחתם את זה כמו</t>
  </si>
  <si>
    <t>הדיון עובר לדרך שבה תלמידים זיהו שער בבחינה ולמה שעשו עם הייצוג שקיבלו. זהו משוב על תהליך הפעולה.</t>
  </si>
  <si>
    <t>RV044 מכינה את ההשוואה. אין הוראות מפורטות לדרך חלופית בתוך חלון זה.</t>
  </si>
  <si>
    <t>RV044 מציגה את הקושי לזהות. כאן המורה מתאר תגובה אוטומטית ומה שהתלמידים עשו בבחינה. אין עדיין דרך חלופית מפורטת.</t>
  </si>
  <si>
    <t>גרעין התיוג: ״רובכם מה עשיתם לקחתם את זה כמו שזה״. אין מכך ראיה אוטומטית לאחד מחמשת הרכיבים.</t>
  </si>
  <si>
    <t>הצעה שלי: לבקש מתלמיד לשחזר מה גרם לו לזהות את השער מיד, ולנסח בדיקה שתמנע הסתמכות על רמז יחיד.</t>
  </si>
  <si>
    <t>557, 559, 561, 563, 565, 567</t>
  </si>
  <si>
    <t>RV046</t>
  </si>
  <si>
    <t>בניית מימוש משערים</t>
  </si>
  <si>
    <t>שזה אומר אתם באים וכותבים לי בצורה כזאת כאן A פה זה B אל שתי הכנסות שלי ואז משמה מה אני עושה קודם כל עושה מהפך לA עושה גם מהפך לt בסדר ואני מתחיל את הסיפור שלי אז יוצא מצב שכאן זה נכנס</t>
  </si>
  <si>
    <t>מבוצעים מהפכים וחיבורים במעגל המסוים. מה אני עושה מציג ביצוע, ללא עיקרון בחירה מקומי.</t>
  </si>
  <si>
    <t>567, 569, 571, 573, 575, 577</t>
  </si>
  <si>
    <t>RV047</t>
  </si>
  <si>
    <t>שערים ומניין רכיבים</t>
  </si>
  <si>
    <t>לאיזה שער N יפה מאוד וזה נכנס לאיזה שער גם כן ובסוף נכנסים שער אור דיברתי על בזבוז 1 2 3 ארבע חמישה שערים שונים ובנוסף לזה</t>
  </si>
  <si>
    <t>מזוהים השערים ונספרים חמישה שערים. אזכור בזבוז ממסגר את ההקשר, אבל ההשוואה עצמה מתפתחת בהמשך.</t>
  </si>
  <si>
    <t>579, 581, 583, 585, 587, 589</t>
  </si>
  <si>
    <t>RV048</t>
  </si>
  <si>
    <t>ספירת רכיבים ופתיח להחלפה</t>
  </si>
  <si>
    <t>שלושה מיקרופרוסורים שונים מיקרופרוסור אחד מוט מיקרופרוסור אחד ל ומיקרופרוסור אחד ל O שלא עשיתי עשו מחדש מיקרופרוסור אחד לאור כלומר שלושה מיקרופרוססורים איך אני יכול להחליף את זה?</t>
  </si>
  <si>
    <t>נספרים שלושה רכיבים ובסוף נשאל איך להחליף את המימוש. הפתיח נענה ב RV049; אינו הזדמנות מוחמצת בפני עצמו.</t>
  </si>
  <si>
    <t>589, 591, 593, 595, 597, 599, 601</t>
  </si>
  <si>
    <t>RV049</t>
  </si>
  <si>
    <t>השוואת מימושים שקולים</t>
  </si>
  <si>
    <t>סור קדימה קדימה תנו לי בראש ככה חזק סור שבסור כל המערכת הזאת שבט ערך לדבר הזה עכשיו תגידו לי אם לאיפ אתכם שלושה מיקרופרוססורים חמישה שערים לוגיים מול שער לוגי אחד ומיקרוססור</t>
  </si>
  <si>
    <t>מושווים מספר השערים והרכיבים בשני מימושים שקולים. דרך ההשוואה עצמה מודגמת.</t>
  </si>
  <si>
    <t>בסוף הביטוי מיקרוססור נחתך; המילה אחד ממשיכה ב RV050.</t>
  </si>
  <si>
    <t>RV047 ו RV048 מספקות את המניין. המילה אחד המתייחסת למיקרופרוססור האחרון נמצאת ב RV050.</t>
  </si>
  <si>
    <t>16:14.920: שלושה מיקרופרוססורים חמישה שערים לוגיים מול שער לוגי אחד</t>
  </si>
  <si>
    <t>EX_IMPL</t>
  </si>
  <si>
    <t>הצעה שלי: לבקש מהכיתה לנסח את דרך ההשוואה: מוודאים שקילות ואז משווים מספר רכיבים ועלות.</t>
  </si>
  <si>
    <t>601, 603, 605, 607, 609, 611, 613</t>
  </si>
  <si>
    <t>RV050</t>
  </si>
  <si>
    <t>שקילות תפקודית</t>
  </si>
  <si>
    <t>אחד ותבינו שזה וזה איזה מערכב עוד יותר טוב זאת או זאת מי אמר אותו דבר איזה מלך אתה איזה מלך אתה אותו דבר זה כל הרעיון זאת אומרת אפילו לא תבינו למה באים מלך בטענות לנבון הזה עובד הכל מצוין לא מצוין</t>
  </si>
  <si>
    <t>השאלה היא אם שתי המערכות עובדות אותו דבר. קריטריון העלות מפורש רק בחלון הבא.</t>
  </si>
  <si>
    <t>זהו שלב של שקילות בתוך רצף הערכה רחב. ביקורת המחיר מופיעה ב RV051.</t>
  </si>
  <si>
    <t>P02</t>
  </si>
  <si>
    <t>613, 615, 617, 619, 621, 623, 625, 627</t>
  </si>
  <si>
    <t>RV051</t>
  </si>
  <si>
    <t>עלות כקריטריון להערכת תוצר</t>
  </si>
  <si>
    <t>אם זה עובד בדולר או עובד בשלושה דולר זה עולם אחר לגמרי האם החלק הזה סגור וברור שאלות מה זה השטח יש שאלה יאללה לך על זה הרי שני שערים כאילו שני</t>
  </si>
  <si>
    <t>בתחילת החלון מודגש ההבדל בין מערכת שעובדת בדולר לבין מערכת שעובדת בשלושה דולר. זהו נימוק לבדיקת יעילות הפתרון.</t>
  </si>
  <si>
    <t>הגרעין המטא מופיע בתחילת החלון, ובהמשכו הזמנה לשאלות ושאלת תוכן.</t>
  </si>
  <si>
    <t>RV049 משווה מספר רכיבים; RV050 מבהירה שהמערכות עובדות באופן שקול. הגרעין המטא מופיע בתחילת RV051, לפני ההזמנה לשאלות.</t>
  </si>
  <si>
    <t>16:40.160: אם זה עובד בדולר או עובד בשלושה דולר זה עולם אחר לגמרי</t>
  </si>
  <si>
    <t>הצעה שלי: לשאול מתי תוספת מחיר עשויה להיות מוצדקת, למשל אם נבחן גם קריטריון אחר. זו הרחבה אפשרית ולא הוכחה להחמצה.</t>
  </si>
  <si>
    <t>P02; P11</t>
  </si>
  <si>
    <t>627, 629, 631, 633, 635, 637, 639, 641, 643</t>
  </si>
  <si>
    <t>RV052</t>
  </si>
  <si>
    <t>שאלת מהירות הפעולה</t>
  </si>
  <si>
    <t>דרכים הם אותו דבר רק שאחד לוקח יותר מיקרוס יותר רכיבים כאלה שציל מה שרציתי לשאול האם זה האם אחד מהכים יצר מהיר כי בגלל שזה צר וואי שאלה נפלאה מה קבל מהסס לשחול שאלות כאלה טובות שאלה נפלאה</t>
  </si>
  <si>
    <t>עולה שאלה אם אחד המימושים מהיר יותר, והמורה מעודד את השואל. עדיין אין הוראת דרך להערכת השאלה.</t>
  </si>
  <si>
    <t>643, 645, 647, 649, 651, 653, 655, 657</t>
  </si>
  <si>
    <t>RV053</t>
  </si>
  <si>
    <t>מימוש שערים וזמן פעולה</t>
  </si>
  <si>
    <t>העניין הוא שאני מתייחס לבחינה שלהם ובהבחינה לא דיברתי איתם על זמנים דיברתי איתם על מימוש של שערים אתה מבין ובנושא של נימו שערים אותו דבר אתה הכנסת אפקט נוסף אפקט של זמן זה נקרא קלוק מן הסתם שון הקלוק בעיקרון</t>
  </si>
  <si>
    <t>מובהר ההיבט שנבדק בבחינה ומוצג מושג הקלוק. הזמן כאן הוא תכונה של המערכת.</t>
  </si>
  <si>
    <t>A09</t>
  </si>
  <si>
    <t>657, 659, 661, 663, 665, 667</t>
  </si>
  <si>
    <t>RV054</t>
  </si>
  <si>
    <t>פקודות וזמן יחסי</t>
  </si>
  <si>
    <t>נותן פקודה ואז נעשה משהו אחד ועוד פקודה נעשה עוד משהו ועוד פקודה נעשה עוד משהו זה פי שלוש זמן האמת שאני טיפה מרמה כי זה לוקח פחות זמן אז נגיד פי 2 וח כי זה וזה אותו זמן וזה וזה אותו זמן זה טיפה פחות אז נגיד פי 2 וח בסדר בסדר כן אבל אני</t>
  </si>
  <si>
    <t>מוסבר רצף הפקודות ומתוקן אומדן של זמן פעולה. תיקון עצמי אינו הופך אוטומטית להוראת ניטור.</t>
  </si>
  <si>
    <t>P11</t>
  </si>
  <si>
    <t>667, 669, 671, 673, 675, 677, 679</t>
  </si>
  <si>
    <t>RV055</t>
  </si>
  <si>
    <t>השוואת היקף המימוש</t>
  </si>
  <si>
    <t>לא התייחסתי לזה אתה 100% עובד אבל אני התייחסתי רק לזה שמר איזה משהו בגילה כזה גדול מול משהו קטן מול שלושה כאלה שאתה מזיק ביד מול אחד אתה מבין את העניין ובבחינת בגור זה ממש מפה בצורה כזאת ממש נותנים לכם מערכת שאתם צריכים לכוות את ה את הממש בעיקרוןס</t>
  </si>
  <si>
    <t>מתואר ההבדל בין מכלול גדול לכמה רכיבים ולרכיב אחד. הנוסח אינו מבהיר דרך הערכה נוספת מעבר להשוואה המקומית.</t>
  </si>
  <si>
    <t>אפשר לפרש כהמשך הוראת קריטריון להשוואת מימושים. הנוסח אינו מספיק להכרעה בטוחה.</t>
  </si>
  <si>
    <t>679, 681, 683, 685, 687, 689, 691, 693</t>
  </si>
  <si>
    <t>RV056</t>
  </si>
  <si>
    <t>דיבור מועט ולא ברור</t>
  </si>
  <si>
    <t>איזה שנפקילות</t>
  </si>
  <si>
    <t>הכתוביות מכילות רק שבר קצר שאינו מאפשר לזהות הוראת תוכן או דרך. זהו סיווג זמני בשל חוסר ראיות.</t>
  </si>
  <si>
    <t>בחלון זה מופיעות שתי מילים בלבד. אין להסיק מן הכתוביות אם הייתה שתיקה או דיבור שלא תומלל.</t>
  </si>
  <si>
    <t>693, 695</t>
  </si>
  <si>
    <t>RV057</t>
  </si>
  <si>
    <t>שיחה צדדית מקוטעת</t>
  </si>
  <si>
    <t>למה זה חבל הלאה אומר אם אני הייתי תלמיד הייתי ביך</t>
  </si>
  <si>
    <t>מעט מלל על תלמיד, ללא מהלך הוראתי שניתן לשחזר. אין להסיק שהחלון כולו היה שקט.</t>
  </si>
  <si>
    <t>כיסוי כתוביות דל. OTHER הוא סיווג זמני ואינו קביעה שאין הוראה בווידאו.</t>
  </si>
  <si>
    <t>697, 699, 701, 703</t>
  </si>
  <si>
    <t>RV058</t>
  </si>
  <si>
    <t>סגירת הסתעפות בשיחה</t>
  </si>
  <si>
    <t>מורך בורה אני רואה אותי אם אני תלמיד תעמים צח בש לא היה מקום לזה הרב אם תלמיד הייתי לא היה צריך לך בוא מי נסיים אחלה מורה אחלה מ בקיצור מה שאמרת זה מצוין מה שאמרת זה טיפה מתפל למה שכרגע עשיתי איתם לכן</t>
  </si>
  <si>
    <t>המורה מגיב לשיחה ואומר שהיא מעבר למה שעשה כרגע. לא מפורטת דרך למידה או פתרון.</t>
  </si>
  <si>
    <t>703, 705, 707, 709, 711, 713, 715, 717, 719</t>
  </si>
  <si>
    <t>RV059</t>
  </si>
  <si>
    <t>פתיח לקושי בזיהוי שערים</t>
  </si>
  <si>
    <t>לא נכנס לתוך הבל זה 100% לא 100% סגר את הפינה הזאת שאלות לגבי זה אז בוא נדבר על הדורמים הבעייתיים שיש לנו בזיהוי של שער נט עוד הפעם אני היום אני בסיס כבוד שצריך טועה על שער קסור</t>
  </si>
  <si>
    <t>בסוף החלון מוצגת בעיית זיהוי, אך הדרך החלופית עדיין אינה מוסברת. הפתיח מקבל המשך ב RV060.</t>
  </si>
  <si>
    <t>הפתיח על בעיית זיהוי ממשיך ב RV060.</t>
  </si>
  <si>
    <t>719, 721, 723, 725, 727, 729</t>
  </si>
  <si>
    <t>RV060</t>
  </si>
  <si>
    <t>זיהוי מתוך הבנה</t>
  </si>
  <si>
    <t>ועל שער עוד קסור זה שהזיהוי שלנו לא מיידי כלומר אנחנו צריכים להוציא אותו מתוך התרביל אתם מבינים את הכוונה אני צריך לשלוח אותו מתוך הבנה לא מתוך האוטומט שלנו מה זה שר תגזור לזור הנה תמ שמה תסתכל לפה אתה יודע מה הייתי לך את זה במילים פי 10 יותר טוב שר קסום פועל</t>
  </si>
  <si>
    <t>דרך הזיהוי היא המוקד: המורה מבקש להוציא את השער מתוך התרגיל ומתוך הבנה ולא להסתמך על תגובה אוטומטית.</t>
  </si>
  <si>
    <t>RV059 מציגה בעיות בזיהוי; RV061 ו RV062 מפרטות הגדרה וכלל זיהוי.</t>
  </si>
  <si>
    <t>RV059 מציגה בעיית זיהוי. RV061 מציגה הגדרות ו RV062 מציגה כלל אבחנה. לא הועתקו לכאן צעדים מן ההמשך.</t>
  </si>
  <si>
    <t>19:48.600: מתוך הבנה לא מתוך האוטומט שלנו</t>
  </si>
  <si>
    <t>הצעה שלי: לפרט אילו מאפיינים בודקים במקום להסתמך על זיהוי מידי ולבקש מתלמיד להדגים זאת.</t>
  </si>
  <si>
    <t>729, 731, 733, 735, 737, 739, 741, 743</t>
  </si>
  <si>
    <t>RV061</t>
  </si>
  <si>
    <t>תנאי פעולה של שני שערים</t>
  </si>
  <si>
    <t>כאשר הכניסות שלי יש כאשר הכניסות שלי לא באותו מצב כלומר אחת תהיה ב כניסה אחת באפס וכניסה אחת תהיה באחד לעומת זאת שר נוקסו פועל רק השם באותו מצב כאשר כאשר שניהם אפס או כאשר שניהם אחד.</t>
  </si>
  <si>
    <t>מוסברים מצבים זהים ומנוגדים בכניסות. זהו תוכן, לפני הפיכתו לכלל אבחנה מפורש בחלון הבא.</t>
  </si>
  <si>
    <t>P03</t>
  </si>
  <si>
    <t>743, 745, 747, 749, 751, 753</t>
  </si>
  <si>
    <t>RV062</t>
  </si>
  <si>
    <t>כלל אבחנה לפי מצבי כניסה</t>
  </si>
  <si>
    <t>כלומר מצבים זעים זה אומר שזה קסור ואם זה מצבים מנוגדים זה אומר קסור וזה הסבר שלנו כזה זה לא תראה אותו בספרות סגרנו נגיד אני כותב את זה בגור בסדר מה זה בסדר זה מה ש כל הרע שאני עושה לך כדי שתוב זה כמו שצריך בבות אתה מבין כלומר אני שוב</t>
  </si>
  <si>
    <t>הניסוח עובר מתיאור המצבים להסקה איזה שער זה. בהקשר RV060 זו הוראה של דרך זיהוי.</t>
  </si>
  <si>
    <t>בכתוביות שם השער מופיע כקסור בשתי החלופות. אין לתקן אותו בשקט או להשתמש בנוסח כעוגן מתמטי לפני האזנה.</t>
  </si>
  <si>
    <t>RV060 ממסגרת את ההסבר כדרך זיהוי מתוך הבנה ו RV061 מציגה את תנאי הפעולה. זו הכרעת META בהקשר, ולא על סמך הגדרה לבדה.</t>
  </si>
  <si>
    <t>20:20.679: מצבים זעים זה אומר שזה קסור ואם זה מצבים מנוגדים זה אומר קסור</t>
  </si>
  <si>
    <t>הצעה שלי: לאמת את שמות השערים, ואז לתת שתי דוגמאות דומות ולבקש זיהוי מנומק לפי מצבי הכניסה.</t>
  </si>
  <si>
    <t>753, 755, 757, 759, 761, 763, 765</t>
  </si>
  <si>
    <t>RV063</t>
  </si>
  <si>
    <t>ציונים ומעבר לתרגיל</t>
  </si>
  <si>
    <t>אומר אני אני אגיד לך משהו אפילו יותר גורם זה לא יורדו על זה מספיק נקודות אני מעט לא הבין הייתי קורע את התמיד בנקודות בבגות מורידים פחות חמנ כן אמיתי לך את בסדר הלאה עכשיו בוא נראה את זה מתוך תרגיל שלנו בוא נראה את זה מתוך תרגיל שלנו פה את קולוך אבל לפני שאני פוגש את זה בתרגיל</t>
  </si>
  <si>
    <t>דיבור על הורדת נקודות והכנה לתרגיל הבא. אין דרך לשיפור הלמידה מעבר להדגשת חשיבות הנושא.</t>
  </si>
  <si>
    <t>A10</t>
  </si>
  <si>
    <t>765, 767, 769, 771, 773, 775, 777, 779</t>
  </si>
  <si>
    <t>RV064</t>
  </si>
  <si>
    <t>הזמנה לשאלות ושיחה על ציונים</t>
  </si>
  <si>
    <t>לפני שאני פוגש את זה בתרגיל האם יש שאלות כי בינתיים השאלות שלכם מרימות טובה עלי השאלות שלנו או שלשו סליחה שאלות שלנו או שלשו מה שאתה רוצה שלו קיבל 95 אתה יודע 95 מי לא אני</t>
  </si>
  <si>
    <t>מוזמנות שאלות ואז מתפתחת שיחה על ציון. לא נלמדת אסטרטגיית ניטור עצמי.</t>
  </si>
  <si>
    <t>P14</t>
  </si>
  <si>
    <t>781, 783, 785, 787, 789, 791, 793, 795, 797, 799, 801</t>
  </si>
  <si>
    <t>RV065</t>
  </si>
  <si>
    <t>איתור בחינה וחומר</t>
  </si>
  <si>
    <t>לא שם אם היה בו מקבל תכף יש לא קיבלתי בוא אם זה הנה בבקשה תראה איזה איזה קח אה לא זה לא שר לא כן זה שלי אז זהו תסתכל על מה ש זה היה מזמן</t>
  </si>
  <si>
    <t>הכיתה והמורה מאתרים חומר ומגיבים אליו. אין הסבר מקצועי רציף שניתן לזהות.</t>
  </si>
  <si>
    <t>801, 803, 805, 807, 809, 811, 813</t>
  </si>
  <si>
    <t>RV066</t>
  </si>
  <si>
    <t>בחינת צמצום נוסף בתשובת תלמיד</t>
  </si>
  <si>
    <t>יאללה עכשיו אני לוקח האמת שאני צריך את המבחן שלך בשביל את לא אתה לא מאמין על כאילו סתכל סתכל סתכל על מה עוד צמצום על הצמצום תבין מה עושה אותו לוגון שר קסו מהצ מה שעשית את זה לא בצמצום הכי הכי הכי מרוא עשה אתש</t>
  </si>
  <si>
    <t>המורה מפנה לעוד צמצום על גבי הצמצום שכבר בוצע ומבקר את מידת הצמצום. זו הערכה של דרך הפתרון, גם בלי פירוט צעדים.</t>
  </si>
  <si>
    <t>בכתוביות החדשות יש משוב על צמצום שלא היה ברור בתמלול הישן. נדרש לוח כדי לזהות את התשובה הנדונה.</t>
  </si>
  <si>
    <t>נבחנת תשובה מתוך הבחינה ויש דרישה לצמצום נוסף על מה שכבר בוצע. הביטוי שעליו מדובר אינו נראה. זהו META של הערכת דרך, בלי רכיבי ביצוע מפורטים.</t>
  </si>
  <si>
    <t>גרעין התיוג: ״עוד צמצום על הצמצום״. אין מכך ראיה אוטומטית לאחד מחמשת הרכיבים.</t>
  </si>
  <si>
    <t>הצעה שלי: להציג בדיוק איזה צמצום נוסף אפשר לעשות ולהזמין את התלמיד להסביר מה חיפש ומה לא זיהה.</t>
  </si>
  <si>
    <t>A11</t>
  </si>
  <si>
    <t>813, 815, 817, 819, 821, 823, 825, 827, 829</t>
  </si>
  <si>
    <t>RV067</t>
  </si>
  <si>
    <t>משוב אישי על רמת תלמיד</t>
  </si>
  <si>
    <t>ה הוא עשה את מה שהיה לי כאן הוא עשה את מה שהיה לי כאן חבל שמחקתי תסתכל אני צה להבין תסתכל נשמה תראה תראה תראה אתה רואה זה מה שהפך אותו מתלמיד רגיל כבר הוריד אותו מרמת גאון לרמת תלמיד רגיל אה</t>
  </si>
  <si>
    <t>מתוארת תשובה ומושווית רמת התלמיד לרמת גאון, אך אין בחלון דרך ברורה שהלומד יכול ליישם.</t>
  </si>
  <si>
    <t>829, 831, 833, 835, 837, 839, 841</t>
  </si>
  <si>
    <t>RV068</t>
  </si>
  <si>
    <t>הדגשת חשיבות השיעור</t>
  </si>
  <si>
    <t>בגלל שכן אני גם הייתי עושה כיף איזה כיף אחד יואו יור יואו יור יור זה רק ממחיש את החשיבות של השיעור בדיוק נראה איזה תרגיל זה נכון את התרגיל שלך כתבתי גם אני חייב לומר לספך פיקס פיקס ה</t>
  </si>
  <si>
    <t>אמירות על חשיבות השיעור ומשוב חיובי לתלמיד. אין פירוט של אסטרטגיה.</t>
  </si>
  <si>
    <t>843, 845, 847, 849, 851, 853, 855</t>
  </si>
  <si>
    <t>RV069</t>
  </si>
  <si>
    <t>הצגת תרגיל מן הבחינה</t>
  </si>
  <si>
    <t>שתי הרות שאמרתי במ שכתוב יפה לא רוצה להרים אותם אני אגיד לך את זה בעל פה ולא בכתוב שמה יאללה בקיצור אז מה יש לנו שמה ככה A B וC אני לוקח את התרגילים מתוך הבחינה וזה התגיל שיכול להפוך את שילוח שלנו גם לגאון אם הוא ינג בחוכמה</t>
  </si>
  <si>
    <t>נבחר תרגיל ומוצגים A, B ו C לצד עידוד לפעול בחוכמה. העידוד אינו שיטת פתרון.</t>
  </si>
  <si>
    <t>855, 857, 859, 861, 863, 865, 867</t>
  </si>
  <si>
    <t>RV070</t>
  </si>
  <si>
    <t>שיחה אישית</t>
  </si>
  <si>
    <t>נריע למה לא שזה בגלל שאני אוהב אותך תביא זה ככה אבא שלי לא במפה לי תיקח על אחרים בקיצור שלא הייתי פני שלך איך זכיתורה איך זכית כן מלמד אותך אה אה ש</t>
  </si>
  <si>
    <t>החילופים הם בעיקר שיחה אישית והומור. אין דרך פעולה מקצועית ברורה.</t>
  </si>
  <si>
    <t>869, 871, 873, 875, 877, 879</t>
  </si>
  <si>
    <t>RV071</t>
  </si>
  <si>
    <t>שיחה בכיתה</t>
  </si>
  <si>
    <t>לא האמת שהוא בא לוחשור פצי שמה אמרתי די די די אני אכנס זה בסדר בוא נראה את זה כך אלה שעמת שתחיל בו דברים כאלה תכל כמה רוצים אותך כאילו יש לך שתיים תשקול יש מה צריך לשקול כמה אתה מרוח</t>
  </si>
  <si>
    <t>רצף משובש של חילופי דברים שאינו מאפשר לזהות הוראה מקצועית.</t>
  </si>
  <si>
    <t>881, 883, 885, 887, 889, 891, 893</t>
  </si>
  <si>
    <t>RV072</t>
  </si>
  <si>
    <t>שיחה על צילום וציונים</t>
  </si>
  <si>
    <t>הרב רוצה חמש קודם הוא עובר אליך קורב בונוס בליבור קור לא רואה אותנו הוא צריך אותי תגיד את רציני זה משנה מתבל גם ככה נכון בגלל זה אני יודע מה שאני אומר אומר שזה תקל הנה זה מקל בצולם אתה מבין איזה התחלות פה</t>
  </si>
  <si>
    <t>דיבור חברתי על הכיתה והצילום. אין אסטרטגיית למידה מוסברת.</t>
  </si>
  <si>
    <t>895, 897, 899, 901, 903, 905, 907</t>
  </si>
  <si>
    <t>RV073</t>
  </si>
  <si>
    <t>חזרה למעגל</t>
  </si>
  <si>
    <t>את ההקרות הקרה זה זאת כן ברור אני לא רוצה לוז טוב זה זה המעגל זה המעגל שלנו עוד שאלנו</t>
  </si>
  <si>
    <t>בסוף החלון מזוהה המעגל שעליו עובדים. אין הסבר דרך מעבר להפניה לתוצר.</t>
  </si>
  <si>
    <t>909, 911, 913</t>
  </si>
  <si>
    <t>RV074</t>
  </si>
  <si>
    <t>ציור המעגל ושמות שערים</t>
  </si>
  <si>
    <t>זה עו ככה זה הולך לפה לפה לפה וזה ככה הפונקציה על מנת שלא תעשו לפניך מול אורחים וזה חות וזה תום לכם את השמות של השער איזה שער זה אין אין יפה מאוד וזה לא כותב זהו איזה זה 40</t>
  </si>
  <si>
    <t>המעגל מתואר ומזוהים בו שערים. שמות השערים אינם שיום של אסטרטגיה.</t>
  </si>
  <si>
    <t>915, 917, 919, 921, 923, 925</t>
  </si>
  <si>
    <t>RV075</t>
  </si>
  <si>
    <t>הפקת פונקציה ממעגל</t>
  </si>
  <si>
    <t>בסדר איזה over קיבלנו את המעגל הזה עכשיו בוא נוציא מכאן פונקציה עכשיו בוא נוציא מכאן פונקציה אז מה יש לנו זה כאן מגיע a ישר באמת כולם הקשר בסדר כי כי אלה המקומות שטיפה חסר לגוס</t>
  </si>
  <si>
    <t>המורה מתחיל להוציא פונקציה ומצביע על כניסה. זהו ביצוע של התרגיל הנוכחי.</t>
  </si>
  <si>
    <t>927, 929, 931, 933, 935, 937</t>
  </si>
  <si>
    <t>RV076</t>
  </si>
  <si>
    <t>מעקב אחרי A ו B</t>
  </si>
  <si>
    <t>פרק תרגיל בחבל ש תסתכל לפה לכאן מגיע A אוקיי לכאן מגיע B עד לפה זה בסדר מה יוצא זה AB AB יפה מאוד A * B על זה התכוונתי שזה כל כך מיידי וכל כך ברור שקשה מאוד להתפתר לכאן מגיע A כאן זה גג A גג יפה</t>
  </si>
  <si>
    <t>מתוארים ערכי כניסה וביטוי כפל ביציאה. אין מסגור של שיטת עקיבה כללית בחלון.</t>
  </si>
  <si>
    <t>P04</t>
  </si>
  <si>
    <t>937, 939, 941, 943, 945, 947, 949, 951</t>
  </si>
  <si>
    <t>RV077</t>
  </si>
  <si>
    <t>שאלה על היפוך ומצב התחלתי</t>
  </si>
  <si>
    <t>ולכאן מגיע A גג B ג רגע למה מי שאל שאני אסביר לו אני על זה כן לכאן מגיע לשער הזה מגיע A על השער הזה כאילו משט מאחד לאפס או מאפס לאחד כן אה אוקיי במקרה הזה מאחד לאפס איך אני יודע שזה מתחיל באפס או באחד אה אה יפה אני מגדיר את זה בהתחלה אני מגדיר את זה</t>
  </si>
  <si>
    <t>עולה שאלה איך יודעים מה המצב ההתחלתי, והמענה מתחיל בהגדרה של המשתנה. מוקד השיחה תוכני.</t>
  </si>
  <si>
    <t>951, 953, 955, 957, 959, 961, 963, 965, 967, 969, 971, 973, 975, 977</t>
  </si>
  <si>
    <t>RV078</t>
  </si>
  <si>
    <t>משמעות הסימון A וגג</t>
  </si>
  <si>
    <t>הגדרה הרי מצב שהוא צריך להגיד מפה מתחיל תגיד אתה לא מגדיר לנו את זה איך אני יודע לא זה לא שאני הבנתי זה לא אני זאת אומר אני מגיע תמיד כאילו בא לי אם זה אפ בדיוק מה שקורה כאשר אתה כותב A בסדר זה אומר שזה אחד לא b וכשאתה כותב A ג זה אומר שזה אפס לו B בסדר</t>
  </si>
  <si>
    <t>המורה מפרש סימונים ומשיב לשאלה על מצב המשתנה. זו הוראת משמעות של ביטוי.</t>
  </si>
  <si>
    <t>977, 979, 981, 983, 985, 987, 989, 991</t>
  </si>
  <si>
    <t>RV079</t>
  </si>
  <si>
    <t>משמעות C גג</t>
  </si>
  <si>
    <t>כלומר מעצם הגדרת המבנה של הפונקציה הבולרית אתה מקבל את האלקטונים האלה אז נגיד בלמטה זה יהיה C רגלי יאללה בוא תזרום יפה יפה יפה מי פה יוצא C נקרא מה יוצא C סיגר C נקרא סיגר תסתכל לפה תסתכל לפה להגיד C זה בסדר</t>
  </si>
  <si>
    <t>מוסבר הסימון בהקשר הפונקציה, ונבחנת תשובה של תלמיד. אין דרך לבדיקה עצמית שנאמרת במפורש.</t>
  </si>
  <si>
    <t>991, 993, 995, 997, 999, 1001, 1003, 1005, 1007, 1009</t>
  </si>
  <si>
    <t>RV080</t>
  </si>
  <si>
    <t>כתיבת הביטוי</t>
  </si>
  <si>
    <t>אבל עדיין אתה יודע קל קל אבל יש כללים אנחנו אתה יודע מה אתה מבין אנחנו בכל משות אנחנו גג שמה זה AB + A גג C דבר דבר A קדימה עצר אני AB+ A גג C מצוין מצוין מצוין אני כותבת AB כל זה ועוד A ג</t>
  </si>
  <si>
    <t>נכתבים איברי הפונקציה ומוזכרים הכללים. אין קריטריון לבחירת שיטה.</t>
  </si>
  <si>
    <t>1009, 1011, 1013, 1015, 1017, 1019, 1021, 1023</t>
  </si>
  <si>
    <t>RV081</t>
  </si>
  <si>
    <t>בירור פעולה בביטוי</t>
  </si>
  <si>
    <t>זהו את מהצ למה לך מוס דבר אתה יכול לעשות ציב לא ה מחבר לכולם כאילו אין לי מושג לפני שניה לא יודע אולי זה כפל אין לי מושחצ מה כתוב כאן מה כתוב כאן גם אני לא יודע מה זה אומר אור אז תגפו</t>
  </si>
  <si>
    <t>נשאל מה כתוב ומה פירושו. השאלות מתייחסות לפעולה הלוגית ולא לתהליך למידה.</t>
  </si>
  <si>
    <t>1023, 1025, 1027, 1029, 1031, 1033, 1035, 1037, 1039, 1041</t>
  </si>
  <si>
    <t>RV082</t>
  </si>
  <si>
    <t>משמעות אופרטור</t>
  </si>
  <si>
    <t>‏A B A B הכי בסיסי שבעולם מה זה? זהס ו לא א ככה זה אה הנה אל תבל אותי זה סוף מה זה</t>
  </si>
  <si>
    <t>מבורר פירוש השער או הפעולה. המלל משובש, אך המוקד תוכני.</t>
  </si>
  <si>
    <t>A12</t>
  </si>
  <si>
    <t>1043, 1045, 1047, 1049, 1051</t>
  </si>
  <si>
    <t>RV083</t>
  </si>
  <si>
    <t>רמז חזותי לזיהוי פעולה</t>
  </si>
  <si>
    <t>ו מה זה אומר פה a וB צריכים להיות דרך אז אם מה הייתי מצח שכתוב כדי לדת שזה כפל לא הצורה של השערים הלוגית היא זו שבעצם אני אותך עד איזה כפור אני אעשה לך את זה אני אביא לך דף יפ יש לי עכשיו באותו דף שקט ושכח להיות בעצם</t>
  </si>
  <si>
    <t>בתגובה לשאלה איך לזהות כפל, מופנית תשומת הלב לצורת השערים. זו הכוונה חלקית לדרך זיהוי, ללא הדגמה מלאה בתמלול.</t>
  </si>
  <si>
    <t>הכתוביות החדשות אומרות הצורה של השערים, ואילו בתמלול הישן נאמר שמות. זו ראיה חדשה לקריאה חזותית, אך אודיו ולוח עדיין נדרשים.</t>
  </si>
  <si>
    <t>RV081 ו RV082 מבררות משמעות פעולה. בכתוביות החדשות יש הפניה לצורה; התמלול הישן דיבר על שמות. הרכיב והסיווג דורשים הסכמה על משמעות הרמז החלקי.</t>
  </si>
  <si>
    <t>27:28.720: הצורה של השערים הלוגית</t>
  </si>
  <si>
    <t>מועמדת לבדיקה: יש שאלה על דרך זיהוי ומענה חלקי באמצעות צורת השער. ב RV084 עד RV087 עוברים להתאמה, לציור ולביטוי, ללא הפעלה עצמאית מפורשת של דרך הזיהוי.</t>
  </si>
  <si>
    <t>הצעה שלי: להדגים זיהוי של מאפיין אחד בצורה, לקשר אותו לשם ולפעולה, ואז לתת דוגמה דומה שהתלמיד יזהה בעצמו.</t>
  </si>
  <si>
    <t>1053, 1055, 1057, 1059, 1061, 1063</t>
  </si>
  <si>
    <t>RV084</t>
  </si>
  <si>
    <t>הקשר בין AND לכפל והציור</t>
  </si>
  <si>
    <t>האוטו שלי לא פה עכשיו זה לא משנה תזכור זה כאן אד זה פלוס זה הכפל זה הכפל זה הכפל אה אבל זה בלי הקולסמ זה תסתכל עכשיו תראה את זה את זה זה תראה את הקימור הזה שצ כמו איזה דל כזה מגעיל מה זה זה לא ד צריך שצרת שמה איפה שמה</t>
  </si>
  <si>
    <t>נמסרת התאמה בין שם השער לפעולת כפל, ובהמשך נידון קימור בציור. הדרך עצמה אינה מפותחת כאן.</t>
  </si>
  <si>
    <t>1065, 1067, 1069, 1071, 1073, 1075, 1077, 1079, 1081, 1083, 1085, 1087, 1089, 1091</t>
  </si>
  <si>
    <t>RV085</t>
  </si>
  <si>
    <t>ציור שער במחברת</t>
  </si>
  <si>
    <t>כל מה שצריך לך להראות רוצה שנעשה את זה יפה איך זה יראה צריכה יפה במחברת אה לא כן כן לא לא כן עזרת שהתחלתי תסתכל מהמש סדרך אני מסמן זה המשפצות שלך פשוט בסדר אני מסמן את הנקודה הזאת ואת הנקודה הזאת ואני עושה כאילו הקשטה מכאן בסדר ואז אתה עושה הקשטה לכאן</t>
  </si>
  <si>
    <t>מוסברים נקודות וקשתות לציור מסוים. רצף צעדי ביצוע אינו לבדו הוראת אסטרטגיית למידה.</t>
  </si>
  <si>
    <t>1093, 1095, 1097, 1099, 1101, 1103, 1105, 1107, 1109</t>
  </si>
  <si>
    <t>RV086</t>
  </si>
  <si>
    <t>השלמת הציור ומעבר לעזר</t>
  </si>
  <si>
    <t>והקשטה לכאן ואז נמצאת אותה בגלל שלא קפדתי על לא לא הבנתי את זה פשוטי משהו אחר אבל הרבה לציון של אם אתה רוצה לא אני הבנתי אני אביא אני מביא לכם תקשור לתו לא אני יודע הייתה בחינה באלקטרוניקה פעם ראשונה חלקו זה מבנה חדש פעם ראשונה חלקו את הדפים של השרים</t>
  </si>
  <si>
    <t>מושלם הציור ובהמשך מוזכר דף עזר. אין דרך לבחירה או לשימוש עצמאי בעזר שמוסברת בחלון.</t>
  </si>
  <si>
    <t>1109, 1111, 1113, 1115, 1117, 1119, 1121, 1123, 1125, 1127, 1129</t>
  </si>
  <si>
    <t>RV087</t>
  </si>
  <si>
    <t>קריאת הפונקציה</t>
  </si>
  <si>
    <t>הלוגים יותר יפה מיפה אז ויש לי את זה להביא לכם פשוט היום שמאות כ זה לא זה לא כאילו בהסג אבל זה זה יגיע לכם השבוע בסדר הש בקיצור הf שלי שווה תגיד לי מה הF שווה לא קדימה ה ש ab + a גג c + c ab +וס</t>
  </si>
  <si>
    <t>אחרי עניין ארגוני קצר מתבקש ביטוי F ומוקראים איבריו. זהו תוכן התרגיל.</t>
  </si>
  <si>
    <t>1129, 1131, 1133, 1135, 1137, 1139, 1141, 1143</t>
  </si>
  <si>
    <t>RV088</t>
  </si>
  <si>
    <t>בחירה בין דרכי צמצום</t>
  </si>
  <si>
    <t>a גג c a גג c כן פלוס פלוס גג פלוס גג נכון יופי עכשיו איך אתה רוצה לצמצם את זה עלגע על ידי מפה קורנו או על ידי אגב בבולניק בגר מה אתה רוצה לו שתי קללות תבחר על המזל בוליני או קורנו מה הראשון בוליני</t>
  </si>
  <si>
    <t>מוצעות מפת קרנו ואלגברה בוליאנית והכיתה בוחרת דרך. אין קריטריון מנומק לבחירה.</t>
  </si>
  <si>
    <t>הכתיב של קרנו ושל בוליאנית משובש; הבחירה בין שתי דרכים ברורה מן ההקשר.</t>
  </si>
  <si>
    <t>RV087 ותחילת RV088 מספקות את הביטוי שיש לצמצם. בתוך הבחירה נאמר תבחר על המזל, ולא מוצג קריטריון לבחירה.</t>
  </si>
  <si>
    <t>29:08.559: על ידי מפה קורנו או על ידי אגב בבולניק</t>
  </si>
  <si>
    <t>מועמדת לבדיקה: הבחירה בין שתי דרכים נפתחת אך נאמר תבחר על המזל. ב RV089 מתחיל ביצוע בלי קריטריון בחירה מפורש.</t>
  </si>
  <si>
    <t>הצעה שלי: לבקש נימוק לבחירה בין קרנו לאלגברה לפי מבנה המשימה, ואז לבדוק בסיום אם הבחירה הייתה מועילה.</t>
  </si>
  <si>
    <t>P05; P09</t>
  </si>
  <si>
    <t>A13</t>
  </si>
  <si>
    <t>1143, 1145, 1147, 1149, 1151, 1153, 1155, 1157, 1159, 1161</t>
  </si>
  <si>
    <t>RV089</t>
  </si>
  <si>
    <t>הוצאת גורם משותף</t>
  </si>
  <si>
    <t>יפה מאוד אז בוליני אומר את הדבר הבא מה הוא אומר הוא אומר שבוא נוציא כמו בוא בכל מתמטיקה נוציא גורם משותף מה הגורם המשותף שלנוח ה לא יש לו שלי תסתכל לפה מה גורם משותף פה אין אין יופי אז מה</t>
  </si>
  <si>
    <t>המורה והתלמידים מוצאים גורם משותף בביטוי. זו הפעלה של הליך תוכני.</t>
  </si>
  <si>
    <t>P05</t>
  </si>
  <si>
    <t>A14</t>
  </si>
  <si>
    <t>1163, 1165, 1167, 1169, 1171, 1173, 1175</t>
  </si>
  <si>
    <t>RV090</t>
  </si>
  <si>
    <t>יישום כלל אלגברי</t>
  </si>
  <si>
    <t>עושים עושים לפי כלל שנקרא כלל הפילוב מה עושה כלל הפילוב או כלף יש כאלה שנו קלף החילוף כאשר אתה רואה את זה ואת זה נכון אז מה אני עושה יש לי כאן C ועוד ההיפוך של סליחה יש לי כאן C ג ועוד ההיפוך של C גפול A ההיפוך מתבטל</t>
  </si>
  <si>
    <t>ניתן שם לכלל ומבוצעת המרה בביטוי. ההצבעה זה ואת זה אינה מאפשרת לחלץ תנאי בחירה בלי הלוח.</t>
  </si>
  <si>
    <t>כאשר אתה רואה את זה ואת זה תלוי בלוח. ייתכן רמז לבחירת מהלך שלא ניתן לפענח בטקסט.</t>
  </si>
  <si>
    <t>1175, 1177, 1179, 1181, 1183, 1185</t>
  </si>
  <si>
    <t>RV091</t>
  </si>
  <si>
    <t>שאלות על ביטול משתנה</t>
  </si>
  <si>
    <t>תראה כמה ככה זה אגב נחמדה לא חזי מתבט לא כמו האגור של א' שלי יותר נחמדה אז A ועוד הכל טוב הרב אני בשול שאתה לא אגד לא אז למה היא לא מתבצל בזכות אלקס עכשיו שור את זה שתו בעני למה היא לא מתבטלח שם אני אמין את עכשיו זה</t>
  </si>
  <si>
    <t>עולות שאלות על צעד אלגברי, אך הנוסח אינו מאפשר לשחזר נימוק תקף או דרך בדיקה.</t>
  </si>
  <si>
    <t>1187, 1189, 1191, 1193, 1195, 1197, 1199, 1201, 1203, 1205</t>
  </si>
  <si>
    <t>RV092</t>
  </si>
  <si>
    <t>הפניה לנוסחה אחרי שאלת למה</t>
  </si>
  <si>
    <t>סוג של חוק שנכול להוכיח לך אותו אבל זה לא לא שלמה כי בעצם א עזוב למה כן אוכל לך או לאחום למה עלז עכשיו אז תגרון זה כלל שאנחנו הם קיבלו דף נוסחות זה אחד מהנוסח אחת מהנוסחות מה טיבל בי פה לא</t>
  </si>
  <si>
    <t>מוזכרת אפשרות להוכחה, אך השיח חוזר לנוסחאות ולתוצאה בלי דרך בדיקה ברורה. זו מועמדת להעמקה פדגוגית.</t>
  </si>
  <si>
    <t>הכתוביות אינן כוללות זיהוי דוברים. צריך לאמת מי שאל ומי אמר עזוב למה לפני הכרעה על החמצה.</t>
  </si>
  <si>
    <t>מועמדת לבדיקה: מופיעות שאלת למה, האפשרות להוכחה ועזוב למה, ואז חזרה לנוסחאות ולתוצאה ב RV093. יש לאמת את הנוסח, הדוברים והאם ניתן הסבר חזותי.</t>
  </si>
  <si>
    <t>הצעה שלי: לשחזר תחילה את הנוסחה, ואז להדגים דרך לבדיקת שקילות הצעד ולהסביר מה הבדיקה מאפשרת להסיק.</t>
  </si>
  <si>
    <t>1205, 1207, 1209, 1211, 1213, 1215, 1217, 1219, 1221</t>
  </si>
  <si>
    <t>RV093</t>
  </si>
  <si>
    <t>תוצאת הצמצום וסימונים</t>
  </si>
  <si>
    <t>מה שמד אותי זה b + אז יפה שווה כאן ל כלומר כמה שקרה כאן a לא לא סליחה אגב זה התבטל זה לא לא cי ג אבל אתם יודעים מה מדאיג אותי בדבר הזה מה שזה שלוש משתלים שזה יכול להתפוצץ כל רגע שזה לא קשור</t>
  </si>
  <si>
    <t>מושלמת תוצאה ונידונים משתנים וסימני גג. אין הוראת ויסות או דרך חשיבה מפורשת.</t>
  </si>
  <si>
    <t>1223, 1225, 1227, 1229, 1231, 1233, 1235, 1237, 1239, 1241, 1243</t>
  </si>
  <si>
    <t>RV094</t>
  </si>
  <si>
    <t>סיום תרגיל ומעבר לדוגמה</t>
  </si>
  <si>
    <t>לזה לא קשור בכלל לקסור ולא אתה לא תגיד נחמד אבל זה מה כן אני רואה פה את האלפט דבר אז בוא נעשה את התרגיל השני עד שנייה אחת רגע אבל אני גם אני זה אני ואתה ואנשה את זה ביחד אוקיי זה היה במבחן השני מבחן השני הוא חשן</t>
  </si>
  <si>
    <t>יש התייחסות לקשר לשער ולאחריה מעבר לתרגיל אחר. לא נלמדת בחירה מנומקת בין דרכים.</t>
  </si>
  <si>
    <t>1243, 1245, 1247, 1249, 1251, 1253, 1255</t>
  </si>
  <si>
    <t>RV095</t>
  </si>
  <si>
    <t>איתור תרגיל במבחן</t>
  </si>
  <si>
    <t>כאלה זה הבחן הראשון אז רגע יש לשמור אני אקס רגע רגע אני בא לי להביא את זה מתוך מעגל כזה הנה זה אני זוכר שאחד מקמים בונה איפה הוא עומד? למה הוא לא פה? שילו 115 אה יש לו מפט</t>
  </si>
  <si>
    <t>בחירת סעיף וחיפוש חומר לביצוע. זהו ארגון העבודה בכיתה.</t>
  </si>
  <si>
    <t>1255, 1257, 1259, 1261, 1263, 1265, 1267, 1269, 1271, 1273</t>
  </si>
  <si>
    <t>RV096</t>
  </si>
  <si>
    <t>שיחה צדדית</t>
  </si>
  <si>
    <t>לא יש לו איתי אחר כך אבל יש כאלה שיש להם מפל וכו עכשיו אחינו מה זה מגן אליו שאתה לא תשג אליו מפניי בסדר אני יותר מדי בשחצה עם לא אבל יש כאלה לא אתה ממשיך אה תשמע יש איזה שלב שצריך להגיד</t>
  </si>
  <si>
    <t>רצף אישי משובש ללא תוכן מקצועי ברור.</t>
  </si>
  <si>
    <t>1273, 1275, 1277, 1279, 1281, 1283, 1285, 1287</t>
  </si>
  <si>
    <t>RV097</t>
  </si>
  <si>
    <t>מעבר לתרגיל בוליאני</t>
  </si>
  <si>
    <t>לא צריך להגן עליו הוא מוגן גם כך אב א בוא נראה כאן תגיד אחד אחר רק שנייה אחת זה הנה זה בטוח הנה אתה יודע מה יפה מחרת בבוליני אתה יודע מה יפה בזה חמש את המחק יש לנו בתרגיל הזה שמוביל אותנו לזה</t>
  </si>
  <si>
    <t>מתייחסים לתרגיל ולדרך שכבר נעשתה, אך אין הסבר מובן לבחירה או להשוואה בין דרכים.</t>
  </si>
  <si>
    <t>1287, 1289, 1291, 1293, 1295, 1297, 1299, 1301</t>
  </si>
  <si>
    <t>RV098</t>
  </si>
  <si>
    <t>זמן שחרור והתארגנות</t>
  </si>
  <si>
    <t>בוא תרשום 15 כן אני לא יכול לראות כלום אז תבוא לא אני מקשיב עכשיו אני כבר אומר לכם אני אשכח אכם קצת לפני הזמן שאנחנו צריכים לבצע איזה מרחק רוברכה קצת לפני הזמן כי ב-12 יהיה חייבים תחזור ללמט כי התחייבתי</t>
  </si>
  <si>
    <t>המורה מדבר על שחרור מוקדם וחזרה לשיעור. זהו ניהול זמן הכיתה, ולא הוראת ניהול זמן ללומד.</t>
  </si>
  <si>
    <t>1303, 1305, 1307, 1309, 1311, 1313, 1315, 1317</t>
  </si>
  <si>
    <t>RV099</t>
  </si>
  <si>
    <t>עמוד ומעבר למפה</t>
  </si>
  <si>
    <t>ואנחנו צריכים לעשות איזשהי פעולה אחת נוספת בצורה לא בסדר מה שם רגע 105 115 125 אוקיי אז בואו נכבה לכיוון 12ח בסדר יופי עכשיו שימו לב יש לנו פה עכשיו מפת קרנו</t>
  </si>
  <si>
    <t>איתור העמוד והתארגנות לפני הצגת מפת קרנו בסוף החלון. ההוראה התוכנית המלאה מתחילה ב RV100.</t>
  </si>
  <si>
    <t>1319, 1321, 1323, 1325, 1327, 1329, 1331, 1333</t>
  </si>
  <si>
    <t>RV100</t>
  </si>
  <si>
    <t>מפת קרנו ומצב לא אכפת</t>
  </si>
  <si>
    <t>מפת קרנו הזו היא לא היא סמפה היא מיוחדת לפי ולמה היא מיוחדת היא מיוחדת רק שניח את זה כאן AC היא מיוחדת בכך שיש לנו גם אפס גם אחד וגם מצב שלא אכפת לו יכול להיות פעם אפס פעם אחת לפי החלטה שלנו אז קודם כל אני רוצה לתקום את המפה עצמה</t>
  </si>
  <si>
    <t>מוסברים אפס, אחד ומצב שניתן לקבוע. אין עדיין קריטריון לבחירה בערכו.</t>
  </si>
  <si>
    <t>1333, 1335, 1337, 1339, 1341, 1343, 1345, 1347</t>
  </si>
  <si>
    <t>RV101</t>
  </si>
  <si>
    <t>מילוי המפה</t>
  </si>
  <si>
    <t>0 0 1 1 1 1 1 1 1 0 1 ופה אני רוצה לחס את האחדים שלנו אז הולך ככה 1 0 1 1 אפס דונקר אחד ועוד בסדר</t>
  </si>
  <si>
    <t>מוקראים ערכי התאים ונמלאת המפה. זו הפעלה של ההליך בדוגמה הנוכחית.</t>
  </si>
  <si>
    <t>P13</t>
  </si>
  <si>
    <t>1347, 1349, 1351, 1353, 1355, 1357</t>
  </si>
  <si>
    <t>RV102</t>
  </si>
  <si>
    <t>משמעות אפס ואחד</t>
  </si>
  <si>
    <t>יופי עכשיו מה קורה לנו פה קורה לנו פה מצב שפה כל ארבעת האחדים האלה אני חייב להתייחס אליהם פס לא האפס מתייחס אל בטור לא כלומר אתה יודע מה קבל אחד זה בטוח עובד אפס לא בטוח אפס בטוח שלו עובד</t>
  </si>
  <si>
    <t>מוסברים תאים שחייבים להתייחס אליהם וההבדל בין אפס לאחד. זהו תוכן המפה.</t>
  </si>
  <si>
    <t>1359, 1361, 1363, 1365, 1367, 1369, 1371</t>
  </si>
  <si>
    <t>RV103</t>
  </si>
  <si>
    <t>גמישות במצב לא אכפת</t>
  </si>
  <si>
    <t>א ודודקר כשמו כן הוא לא אכפת אני קובע אם הוא מתאים לי או לא מתאים לי אה אוקיי בסדר יופי אז אני אסתכל עכשיו על אחד שמצב הראשו הכל</t>
  </si>
  <si>
    <t>נאמר שאפשר לקבוע אם התא מתאים, אך לא לפי איזה קריטריון. בחירה ללא פירוט הדרך נשארת כאן בהסבר המושג.</t>
  </si>
  <si>
    <t>P07</t>
  </si>
  <si>
    <t>1373, 1375, 1377, 1379, 1381, 1383, 1385, 1387</t>
  </si>
  <si>
    <t>RV104</t>
  </si>
  <si>
    <t>חשיבה בקול על קבוצה טובה יותר</t>
  </si>
  <si>
    <t>אני מסתכל על שני היחדים האלה ועל האחד הזה ועל האחד הזה מה אני אומר לעצמי האחדים האלה יכולים להיות תלולאה אבל הם יכולים להיות תלולה יותר טובה כאשר זה אלה מצטרפים אליהם רק לצורך העניין אחד למשעשל אותו כל מי שנמצא פה חדש ארבע על הצדדים כן אני רוצה להסביר לך משהו אנחנו רואים כאילו מפה פוסה כאילו</t>
  </si>
  <si>
    <t>המורה מציג מה הוא אומר לעצמו ומשווה בין לולאה אפשרית ללולאה טובה יותר כשמצרפים תאים. דרך קבלת ההחלטה נעשית גלויה חלקית.</t>
  </si>
  <si>
    <t>הכתוביות מבהירות שנשקלת לולאה טובה יותר באמצעות צירוף תאים. בלי הלוח אין לאמת את חוקיות הקיבוץ.</t>
  </si>
  <si>
    <t>RV102 ו RV103 מגדירות תאים ומצב לא אכפת. בחלון זה המורה אומר מה אני אומר לעצמי ומשווה בין אפשרויות קיבוץ.</t>
  </si>
  <si>
    <t>34:27.000: יכולים להיות תלולה יותר טובה כאשר זה אלה מצטרפים אליהם</t>
  </si>
  <si>
    <t>הצעה שלי: להסביר מה הופך קבוצה אחת לטובה יותר, ולהראות מקרה שבו צירוף תא אינו מותר. יש להתבסס על המפה המאומתת.</t>
  </si>
  <si>
    <t>P07; P10</t>
  </si>
  <si>
    <t>A15</t>
  </si>
  <si>
    <t>1389, 1391, 1393, 1395, 1397, 1399, 1401, 1403, 1405</t>
  </si>
  <si>
    <t>RV105</t>
  </si>
  <si>
    <t>נימוק חיבור קצות המפה</t>
  </si>
  <si>
    <t>דבר כזה לקחת מהצדדים זה יפה מאוד כי זה בעצם גליל זה גליל אז כשאני פותח פה בעצם הקו השמאלי והימני הם הם יכולות להתחבר הם מחוברים הם בצים יחידה אחת זו הסביבה שאני בא ולוקח את הרביעה הזאת אני מרגיש ממש ממש רוצה מה אני צריך שמצו בית למי?</t>
  </si>
  <si>
    <t>המפה מומחשת כגליל וחיבור הקצוות מקושר במפורש לבחירת הרביעייה. זהו נימוק לבחירה בדרך קיבוץ.</t>
  </si>
  <si>
    <t>הגליל וחיבור הקצוות מוסברים מילולית. התאים המסוימים שנבחרו אינם נראים לנו.</t>
  </si>
  <si>
    <t>RV104 מציגה חיפוש קבוצה טובה יותר. RV105 קושרת את הגליל וחיבור הקצוות לבחירת הרביעייה; הנוסח זו הסביבה שאני בא ולוקח משובש ונשמר במקור.</t>
  </si>
  <si>
    <t>34:46.560: הקו השמאלי והימני הם הם יכולות להתחבר</t>
  </si>
  <si>
    <t>הצעה שלי: לבקש מהתלמידים להסביר את בחירת הקבוצה באמצעות חיבור הקצוות ולבחון גם קבוצה דומה שאינה מותרת.</t>
  </si>
  <si>
    <t>1405, 1407, 1409, 1411, 1413, 1415, 1417, 1419</t>
  </si>
  <si>
    <t>RV106</t>
  </si>
  <si>
    <t>יצירת קבוצות ופתיח לבדיקה</t>
  </si>
  <si>
    <t>לאחד הזה ולאחד הזה. עושה לו עם האחד שמה יפה מאוד לוקח את האחד הזה ואת האחד הזה לצרף אותם ואחד עם הדונקר ואחד עם הדונקר יפה כלומר מצאתי כאן שיש לי שלוש לולות א' פה זה בסדר איך אני מוציא החוצה מלולות זוכרים לטובת אם אתם לא יודעים אני אומר את זה בשפה שלי</t>
  </si>
  <si>
    <t>מבוצע קיבוץ תאים ומסוכם מספר הלולאות. בסוף נפתח הסבר איך מוציאים מן הלולאות, שמושלם ב RV107.</t>
  </si>
  <si>
    <t>שאלת איך מוציאים מלולאות מקבלת תשובה ב RV107.</t>
  </si>
  <si>
    <t>A16</t>
  </si>
  <si>
    <t>1419, 1421, 1423, 1425, 1427, 1429, 1431, 1433, 1435</t>
  </si>
  <si>
    <t>RV107</t>
  </si>
  <si>
    <t>שם וכלל של בדיקת משתנים</t>
  </si>
  <si>
    <t>לקרוא לזה מבחן ההגשנות אני בודק כל פעם פלולה אחרת למראות איזה משתנה שמר על המצב ואיזה לא שומר על המצב מי ששומר על המצב נרשם מי שלא זה לא שומע על המצב פשוט אני מיף אותו בסדר מאיזה אולי נתחיל איך קוראים לך הרע הרעל ה כן הר מהרבייה</t>
  </si>
  <si>
    <t>ניתן שם למבחן ומוסבר לבדוק מה נשמר ומה משתנה ולהשאיר או לסלק בהתאם. זו הוראת דרך חוזרת.</t>
  </si>
  <si>
    <t>שם המבחן מופיע כאן כההגשנות, לעומת העקשנות בתמלול הישן וההשתנות בפלט נמרוד. קודד שיום, אך השם התקני לא הוכרע.</t>
  </si>
  <si>
    <t>RV106 סיימה לקבץ תאים ופתחה שאלה על הוצאת איברים מהלולאות. אין לתקן את שם המבחן לפי התמלול הישן או לפי פלט נמרוד.</t>
  </si>
  <si>
    <t>35:20.680: לקרוא לזה מבחן ההגשנות
35:25.320: איזה משתנה שמר על המצב ואיזה לא שומר על המצב מי ששומר על המצב נרשם</t>
  </si>
  <si>
    <t>הצעה שלי: להוסיף למה בדיקת הקביעות מאפשרת לכתוב איבר שמייצג את כל הקבוצה, ולבקש מתלמיד לנמק השארה או סילוק של משתנה.</t>
  </si>
  <si>
    <t>P06; P16</t>
  </si>
  <si>
    <t>A16; A17</t>
  </si>
  <si>
    <t>1435, 1437, 1439, 1441, 1443, 1445, 1447</t>
  </si>
  <si>
    <t>RV108</t>
  </si>
  <si>
    <t>בחירת לולאה ופתיח לחזרה</t>
  </si>
  <si>
    <t>לא מהרביעיה אתה רוצה מהאדומה בסדר אתה יודע למהדומה כי מטורה אתה יודע למה כי אחי למה כי יש את הכי אומרים שלא את הבגל זה שום סיבה אחרת הלאה בקיצור מה אני עושה במבחנה קשנות אני בא ובודק את כל</t>
  </si>
  <si>
    <t>רוב החלון עוסק בבחירת צבע ובשיחה צדדית. בסוף מופיעה שאלה על המבחן, אך שלבי הבדיקה נמצאים ב RV109.</t>
  </si>
  <si>
    <t>נשאל מה עושים במבחן, והמשפט מסתיים בבדיקה של כל. התשובה המלאה ב RV109.</t>
  </si>
  <si>
    <t>P09</t>
  </si>
  <si>
    <t>A17</t>
  </si>
  <si>
    <t>1447, 1449, 1451, 1453, 1455, 1457, 1459, 1461</t>
  </si>
  <si>
    <t>RV109</t>
  </si>
  <si>
    <t>בדיקה שיטתית לכל משתנה</t>
  </si>
  <si>
    <t>הגורמים שיש לי בתוך או לא ואני בודק את זה כל פעם בנפרט למשתנה אחר זה המשתנה הראשון A זה המשתנה השני B זה המשתנה השלישי C משתנה ששומר על המצב שלו נרשם משתנה שלא שומר על המצב שלו נמחה אז אני רואה כאן וכאן הA באיזה מצב גג</t>
  </si>
  <si>
    <t>מפורטים בדיקה נפרדת לכל משתנה וכלל ההשארה או הסילוק. אלה צעדים של דרך שניתנת ליישום חוזר.</t>
  </si>
  <si>
    <t>תחילת המשפט אני בא ובודק את כל נמצאת בסוף RV108. רוב הכלל והצעדים נאמרים בתוך חלון זה.</t>
  </si>
  <si>
    <t>RV108 מסיימת במילים אני בא ובודק את כל. כאן מתוארת הבדיקה בלולאה וההחלטה עבור כל משתנה. השם מן החלון הקודם לא נספר מקומית.</t>
  </si>
  <si>
    <t>36:02.160: אני בודק את זה כל פעם בנפרט למשתנה אחר</t>
  </si>
  <si>
    <t>הצעה שלי: לבקש מהתלמיד לומר מראש אילו משתנים יבדוק ואיך יוודא שלא דילג על תא או על משתנה.</t>
  </si>
  <si>
    <t>P08</t>
  </si>
  <si>
    <t>1461, 1463, 1465, 1467, 1469, 1471, 1473</t>
  </si>
  <si>
    <t>RV110</t>
  </si>
  <si>
    <t>יישום הבדיקה על A</t>
  </si>
  <si>
    <t>אפס תסתכל אה כן גגור סבבה אז אותו דבר ופה ופה הה במצב רגיל אחד אז איך אני רושם אותו א A לא רושמת שינה את המצב הביתה יש הלאה עכשיו הB פה הB פה ופה</t>
  </si>
  <si>
    <t>נבדקים ערכי משתנה מסוים ונקבעת התוצאה. זהו יישום מקומי של המבחן שכבר הוסבר.</t>
  </si>
  <si>
    <t>A18</t>
  </si>
  <si>
    <t>1475, 1477, 1479, 1481, 1483, 1485, 1487</t>
  </si>
  <si>
    <t>RV111</t>
  </si>
  <si>
    <t>יישום על B ועל C</t>
  </si>
  <si>
    <t>הB במצב אפס פה ופה הB במצב אפס איך אני רושם אותו יפה מאוד d עכשיו אני בודק את הC פה ופה השי במצב אפס פה ופה השי במצב איך אני רושם אותו סיג תחשוב טוב</t>
  </si>
  <si>
    <t>נבדקים ערכים ומתקבלת החלטה לגבי המשתנים הנוכחיים. אין כלל אסטרטגי חדש בחלון.</t>
  </si>
  <si>
    <t>כאן כתוב B במצב אפס ואחר כך שוב אפס. התמלול הישן כתב אפס ואז אחד. אין להציג את הסתירה הישנה כטעות של המורה.</t>
  </si>
  <si>
    <t>1487, 1489, 1491, 1493, 1495, 1497, 1499, 1501, 1503, 1505</t>
  </si>
  <si>
    <t>RV112</t>
  </si>
  <si>
    <t>תיקון והמשך ללולאה נוספת</t>
  </si>
  <si>
    <t>לא משב אותו בכלל כפרה עליך פה הוא אפס פה הוא אחד שלוש תסתור כל שינוי לבית לא לא סגור בוא תמשיך לעזור לו אתה רוצה את הכחולה או את הסגולהך כחולה סבבה אז בוא נראה מה קורה פה פה ה באיזה מצב גג שמהג</t>
  </si>
  <si>
    <t>מתוקנת תשובה ומתחיל יישום על לולאה אחרת. התזכורת כל שינוי לבית משובשת ואינה מספיקה לבדה לקביעת META.</t>
  </si>
  <si>
    <t>כל שינוי לבית עשוי להיות תזכורת לכלל, אך הנוסח סביבו משובש. התיוג המקומי נשאר COG לבדיקה.</t>
  </si>
  <si>
    <t>1507, 1509, 1511, 1513, 1515, 1517, 1519, 1521</t>
  </si>
  <si>
    <t>RV113</t>
  </si>
  <si>
    <t>יישום בלולאה נוספת</t>
  </si>
  <si>
    <t>אז איך אני רושם אז גג יפה מאוד עכשיו ב פה במצב גשם ב1 איך אני רושם איך אני רושם אמרת לא רושם משתנה לא יפה לא רושם סי מה הוא בפשנות ואיך פה ופה זה רגיל יפה מאוד</t>
  </si>
  <si>
    <t>המורה והתלמידים קובעים איזה משתנה נרשם בדוגמה הנוספת. זהו תרגול של דרך שכבר נלמדה.</t>
  </si>
  <si>
    <t>1523, 1525, 1527, 1529, 1531, 1533, 1535, 1537, 1539, 1541</t>
  </si>
  <si>
    <t>RV114</t>
  </si>
  <si>
    <t>איבר מן הלולאה הסגולה</t>
  </si>
  <si>
    <t>עכשיו מה קורה לי פה בלולאה הסגולה אa נשאר וגם הC נשאר יפה ה נשאר באיזה מצב הרגיל וC תגיד לי אותו A וC יפה מאוד לא סקש לצורך הפונקציה עצמה כלומר אני בעצם קיבלתי כאן עכשיו מצב שבו הF שלי שווה שווה אז בוא נעבור לכולם</t>
  </si>
  <si>
    <t>מופק איבר מהקבוצה ומתחילה כתיבת F. הפעולה תוכנית ומקומית.</t>
  </si>
  <si>
    <t>1541, 1543, 1545, 1547, 1549, 1551, 1553, 1555, 1557</t>
  </si>
  <si>
    <t>RV115</t>
  </si>
  <si>
    <t>הפניה לבדיקה נוספת אחרי פתרון</t>
  </si>
  <si>
    <t>יש לי כאן עכשיו B גג הוא היה הראשון אחר כך היה לי אתג A גג C ואחר כך היה לי את AC C ג נכון ופה H מה עכשיו שלא מה עכשיו אתם צריכים לראות חזק חזק בעיניים צמצם קסור קסור לצמצם שתפרד על הנכון</t>
  </si>
  <si>
    <t>אחרי כתיבת הביטוי המורה שואל מה צריך לראות כעת, והשיח מכוון לזיהוי שער ולצמצום נוסף. ההקשר ב RV116 מבהיר את מטרת הבדיקה.</t>
  </si>
  <si>
    <t>הפניית התהליך בסוף החלון תלויה בהסבר ב RV116; הסיווג META דורש קריאה בהקשר הצמוד.</t>
  </si>
  <si>
    <t>RV114 סיימה להפיק איברים. בסוף RV115 נשאל מה עכשיו צריך לראות; RV116 מדגימה זיהוי שער ומסבירה את תועלתו. הסיווג תלוי בהקשר הצמוד.</t>
  </si>
  <si>
    <t>גרעין התיוג: ״מה עכשיו אתם צריכים לראות חזק חזק בעיניים״. אין מכך ראיה אוטומטית לאחד מחמשת הרכיבים.</t>
  </si>
  <si>
    <t>הצעה שלי: לתת לתלמידים זמן לזהות בעצמם מבנה אפשרי ולנמק אותו לפני שהמורה מצביע על שני האיברים.</t>
  </si>
  <si>
    <t>A19</t>
  </si>
  <si>
    <t>1557, 1559, 1561, 1563, 1565, 1567, 1569, 1571, 1573</t>
  </si>
  <si>
    <t>RV116</t>
  </si>
  <si>
    <t>זיהוי שער ומניעת בזבוז</t>
  </si>
  <si>
    <t>אתם רואים פה ששניה ביחד זה קסור זה לא כמו פה שזה בא לי נחמד או פה בפרד עושה את הx או c יפה מאוד זה בדיוק הקטע הזה זה הקטע שמוריד נקודות על סתם או מפתר אותם ממפעל בזבוז יתר</t>
  </si>
  <si>
    <t>המורה מצביע על שני איברים שמרכיבים שער וקושר את זיהוים למניעת בזבוז. מודגמים מוקד הבדיקה והתועלת שלה.</t>
  </si>
  <si>
    <t>הביטוי ושם השער דורשים לוח. הנימוק על מניעת בזבוז קיים מילולית בחלון.</t>
  </si>
  <si>
    <t>RV115 מפנה לבדיקה נוספת אחרי קבלת הביטוי. כאן ניתנים זיהוי המבנה והנימוק הכלכלי.</t>
  </si>
  <si>
    <t>38:22.720: ששניה ביחד זה קסור
38:38.680: בזבוז יתר</t>
  </si>
  <si>
    <t>הצעה שלי: להשוות לביטוי דומה שאינו אותו שער ולבקש מהתלמידים להסביר מה מאפשר ומה מונע את הזיהוי.</t>
  </si>
  <si>
    <t>1573, 1575, 1577, 1579, 1581, 1583</t>
  </si>
  <si>
    <t>RV117</t>
  </si>
  <si>
    <t>תשומת לב ובניית הרגל זיהוי</t>
  </si>
  <si>
    <t>יש זה החלק שאתם צריכים לשים את הלב כי זה לא בא לי באופן אוטומטי בעל אתם צריכים לייצר את האוטומט הזה סגור אז איך אני כותב את זה עיגול וx יפה מאוד אז f יהיה שווה קודם כל לטוף את ה דג שיפו ‏A c</t>
  </si>
  <si>
    <t>המורה מדגיש למה לשים לב ושצריך לייצר הרגל זיהוי, בהמשך לבדיקה הקודמת. אין כאן הוראות תרגול מפורטות.</t>
  </si>
  <si>
    <t>החלק מתייחס לזיהוי שנלמד ב RV115 וב RV116. ההנחיה לייצר הרגל אינה הוראת ביצוע מפורטת.</t>
  </si>
  <si>
    <t>זה החלק מתייחס לזיהוי שנלמד ב RV115 וב RV116. בהמשך החלון חוזרים לכתיבת הפונקציה. ההקשר חיוני להכרעה שהאמירה מכוונת להרגל בדיקה מסוים.</t>
  </si>
  <si>
    <t>גרעין התיוג: ״אתם צריכים לייצר את האוטומט הזה״. אין מכך ראיה אוטומטית לאחד מחמשת הרכיבים.</t>
  </si>
  <si>
    <t>הצעה שלי: לתת תרגיל קצר נוסף ולבקש מהתלמידים לציין מתי עצרו לבדוק אם אפשר לזהות שער מוכר. אין להסיק שלא ניתן תרגול אחר בשיעור.</t>
  </si>
  <si>
    <t>A19; A20</t>
  </si>
  <si>
    <t>1583, 1585, 1587, 1589, 1591, 1593, 1595, 1597, 1599</t>
  </si>
  <si>
    <t>RV118</t>
  </si>
  <si>
    <t>מימוש הפונקציה במעגל</t>
  </si>
  <si>
    <t>ופה נגר את הפונקציה כלומר אני עכשיו בא וממש את זה בשנים וגים אז a b וc אני מוריד את כל אלה ויש לי כתחיל דווקא מהסור נשוא השיעור שלנו אז הוא נראה כך והגול בסדר ואחר כך הם</t>
  </si>
  <si>
    <t>המורה מתחיל לצייר את המימוש. מדובר בביצוע התוצאה שכבר התקבלה.</t>
  </si>
  <si>
    <t>P15</t>
  </si>
  <si>
    <t>A20</t>
  </si>
  <si>
    <t>1599, 1601, 1603, 1605, 1607</t>
  </si>
  <si>
    <t>RV119</t>
  </si>
  <si>
    <t>השלמת המהפך והחיבורים</t>
  </si>
  <si>
    <t>מהפך אז הנה המהפך שלו וכל שנסגר באור זה זה בעוד וככה נראית פונקציה מדושת שאלות אז רגע הוא נפל כי הוא העריך את הסדר נו</t>
  </si>
  <si>
    <t>מושלם המימוש של הפונקציה ומוזמנות שאלות. אין דרך הערכה חדשה שמפורטת בחלון.</t>
  </si>
  <si>
    <t>1607, 1609, 1611, 1613, 1615</t>
  </si>
  <si>
    <t>RV120</t>
  </si>
  <si>
    <t>בדיקת צמצום בתוך תוצר מצומצם</t>
  </si>
  <si>
    <t>גם כן אתה משנה ר אתה מוכר אה אני לא צוחק איתך כל הדבר שאלות לגבי זה כל הרעש וכל הצולים להגיע לפונקציה מצומצמת ולזהות בתוך הצמצ צמצום עוד צמצום אחד</t>
  </si>
  <si>
    <t>בסוף החלון מנוסח עיקרון של חיפוש צמצום נוסף גם לאחר קבלת פונקציה מצומצמת. זהו תכנון של בדיקת סיום.</t>
  </si>
  <si>
    <t>הגרעין המטא מופיע בסוף החלון. ההדגשה שזו חובה ושפתרון עובד אינו מספיק ממשיכה ב RV121.</t>
  </si>
  <si>
    <t>רוב תחילת החלון היא סגירת שיח. העיקרון מופיע בסופו, אחרי דוגמת המימוש ב RV118 וב RV119.</t>
  </si>
  <si>
    <t>39:53.440: להגיע לפונקציה מצומצמת ולזהות בתוך הצמצ צמצום עוד צמצום אחד</t>
  </si>
  <si>
    <t>הצעה שלי: לנסח בדיקת סיום קצרה שהלומד יכול לבצע בעצמו, עם דוגמה למה הוא מחפש בביטוי שכבר צומצם.</t>
  </si>
  <si>
    <t>A21</t>
  </si>
  <si>
    <t>1615, 1617, 1619, 1621, 1623, 1625</t>
  </si>
  <si>
    <t>RV121</t>
  </si>
  <si>
    <t>תקינות אינה קריטריון מספיק</t>
  </si>
  <si>
    <t>וזה לא רשות מדובר פה בחובה סתגיד לי זה עובד סבבה זה עובד לא מספיק שאלות כן קסור זה מלא כן בוא נעשה אחד שלנו עוד קסור אז באמת קסור אחד בוא נעשה</t>
  </si>
  <si>
    <t>המורה מדגיש שהבדיקה הנוספת היא חובה ושפתרון עובד אינו מספיק. זהו המשך הערכת התוצר והדרך.</t>
  </si>
  <si>
    <t>החלון ממשיך את עיקרון הבדיקה ב RV120 ואז עובר לשאלות ולתרגיל.</t>
  </si>
  <si>
    <t>RV120 ניסחה חיפוש צמצום נוסף. כאן נמסר שזו חובה ושפתרון עובד אינו מספיק, ואז השיחה עוברת לתרגיל נוסף.</t>
  </si>
  <si>
    <t>גרעין התיוג: ״זה עובד לא מספיק״. אין מכך ראיה אוטומטית לאחד מחמשת הרכיבים.</t>
  </si>
  <si>
    <t>הצעה שלי: לקשור את דרישת החובה לקריטריון ברור של איכות המימוש, ולאפשר לתלמיד להסביר איך בדק אותו.</t>
  </si>
  <si>
    <t>1627, 1629, 1631, 1633, 1635, 1637, 1639</t>
  </si>
  <si>
    <t>RV122</t>
  </si>
  <si>
    <t>מעבר לשער נוסף</t>
  </si>
  <si>
    <t>אבל לפני זה רגע יש שאלות עכשיו אין שאלות אני מוחק את זה. זהו עכשיו אני אעשה נוקס בא לי גם כיספ באמת מקסו זה באמת אותו דבר באמת באמת אותו דבר אבל עדיין אני לא רוצה להגיד לזה שאני אזהה גם אותו במצ</t>
  </si>
  <si>
    <t>מחיקה, הזמנה לשאלות והודעה על דוגמה נוספת. לא נאמרת כאן דרך זיהוי מפורטת לתלמיד.</t>
  </si>
  <si>
    <t>1641, 1643, 1645, 1647, 1649, 1651</t>
  </si>
  <si>
    <t>RV123</t>
  </si>
  <si>
    <t>בחירת המשך לא ברורה</t>
  </si>
  <si>
    <t>אז רגע יש לך משהו עד בס אבל שיהיה בטוח שזה זה כאילו כן תשבי ש</t>
  </si>
  <si>
    <t>הרצף קצר ומשובש. אין בכתוביות ראיה להוראה של אסטרטגיה, בניגוד לפתיח שנכתב בתמלול הישן.</t>
  </si>
  <si>
    <t>בתמלול הישן הופיע יש לנו אסטרטגיה. בכתוביות המקור החדשות מופיע יש לך משהו עד. אין ראיה מספקת ל META_INTRO כאן.</t>
  </si>
  <si>
    <t>1653, 1655, 1657, 1659, 1661</t>
  </si>
  <si>
    <t>RV124</t>
  </si>
  <si>
    <t>בחירת תרגיל חדש</t>
  </si>
  <si>
    <t>יש לנו פה יש לנו נוקסיקו שעה שתיים שלה שתיים אח בוא נראה אותה כאילו זה נמצא צודקים משנה אה אתה אומר כאילו לצמצם פונקציה בולינית כן גם כאילו זה יצא שם טוב יאללה ניקח את הריזיקה זה מעניין אתם יודעים מה יפה עשינו גם בולינים עשינו</t>
  </si>
  <si>
    <t>נבחרת פונקציה לצמצום ומוזכרות דרכים שכבר נעשו. אזכורן אינו עדיין השוואה מנומקת ביניהן.</t>
  </si>
  <si>
    <t>A22</t>
  </si>
  <si>
    <t>1663, 1665, 1667, 1669, 1671, 1673, 1675, 1677, 1679</t>
  </si>
  <si>
    <t>RV125</t>
  </si>
  <si>
    <t>פונקציה נתונה במקום מעגל</t>
  </si>
  <si>
    <t>גם את המפת קיונות ופה עכשיו הוא מביא לי פונקציה בולינית בנויה לא מתוך שאני מוציא אותו מתוך א מערכת יצא לנו טוב בלי כוונה יאללה בקיצור F שווה כאן לAC כל זה ועוד A+ C גג</t>
  </si>
  <si>
    <t>מוצג הבדל במתן המשימה ונכתב ביטוי חדש. אין מסקנה על איזו דרך יעילה יותר.</t>
  </si>
  <si>
    <t>1679, 1681, 1683, 1685, 1687, 1689, 1691</t>
  </si>
  <si>
    <t>RV126</t>
  </si>
  <si>
    <t>שיחה אישית אחרי הכתבה</t>
  </si>
  <si>
    <t>כל הכבוד שחזרתם אה כל זה ועוד זהו ציימו אותך עכשיו לך תדע הדוף מגיע הביתה משתנה הדוף מגיע הביתה כפרה עליך שפמ יאללה עכשיו עכשיו נחלקתי בוא נש מציע איפה היית אני עכשיו כן זה טעות אתה</t>
  </si>
  <si>
    <t>לאחר סיום ההכתבה מתפתחת שיחה על נוכחות ודוח. אין מהלך מקצועי שניתן לשחזר ברוב החלון.</t>
  </si>
  <si>
    <t>1691, 1693, 1695, 1697, 1699, 1701, 1703</t>
  </si>
  <si>
    <t>RV127</t>
  </si>
  <si>
    <t>שיחה על שיעור מתמטיקה</t>
  </si>
  <si>
    <t>יודע אתה יודע שתיים בא לי תמיד בוכה אני רוצה ללמוד תלפש את נאורי מה אמרתי לו הלכת למתמטיקה תשאר במתמטיקה אין אין ומנו ומנה היה מתמטיקה יאללה עכשיו לטובת</t>
  </si>
  <si>
    <t>שיחה אישית על לימודים ונוכחות. אין דרך ללמידה עצמאית.</t>
  </si>
  <si>
    <t>1703, 1705, 1707, 1709, 1711, 1713</t>
  </si>
  <si>
    <t>RV128</t>
  </si>
  <si>
    <t>דה מורגן</t>
  </si>
  <si>
    <t>שילו והרל וכל החברים החדשים שלנו המבורכים שימו לב את רואה את הדבר הזה זו נוסחה זה נקרא דמורגן והנוסחה הזו מאוד פשוטה דרך אגב A+ C גג מעל שניהם וA *פ C גג מעל שניהם זה הופך להיות שים לב A ג C גג</t>
  </si>
  <si>
    <t>ניתן שם לחוק ומבוצעת המרה של ביטוי. שם של חוק אינו כשלעצמו שם אסטרטגיה.</t>
  </si>
  <si>
    <t>P06</t>
  </si>
  <si>
    <t>A23</t>
  </si>
  <si>
    <t>1713, 1715, 1717, 1719, 1721, 1723, 1725</t>
  </si>
  <si>
    <t>RV129</t>
  </si>
  <si>
    <t>הפעלת החוק בביטוי</t>
  </si>
  <si>
    <t>יפה מאוד A ג C גג לא נתותח אה וזה הופך להיות A גג יופי למה אמרתי את זה כי אני צריך להשתמש בזה פה בסדר אז יש לי פה עכשיו AC כל זה ועוד Aג גד כפול C גג כל זה גוד כל זה גוד AC גג וגג פה ופה מקובל ועכשיו אני אומר</t>
  </si>
  <si>
    <t>החוק מיושם בפונקציה הנוכחית. צריך להשתמש בזה פה אינו מסביר תועלת של בחירת דרך.</t>
  </si>
  <si>
    <t>1727, 1729, 1731, 1733, 1735, 1737</t>
  </si>
  <si>
    <t>RV130</t>
  </si>
  <si>
    <t>גורם משותף והמשך פישוט</t>
  </si>
  <si>
    <t>לעצי מה אני יכול לעשות גורם השף לא מחף הלך בגולי איתנו חינוך אז אני עושה פה עכשיו יופי עשה כאן זה צרצית תודה רבה אז יש לי כאן עכשיו AC ועוד שימו לב A גסגה סוגריים מפה יוצא אחד מפה יוצא</t>
  </si>
  <si>
    <t>אחרי מה אני יכול לעשות מבוצעת הוצאת גורם. אין נימוק מובן לבחירת המהלך מעבר לביצוע האלגברי.</t>
  </si>
  <si>
    <t>יש פתיח של חשיבה בקול. ההמשך אינו מבהיר קריטריון בחירה מעבר להפעלת הוצאת גורם.</t>
  </si>
  <si>
    <t>P10</t>
  </si>
  <si>
    <t>1739, 1741, 1743, 1745, 1747, 1749</t>
  </si>
  <si>
    <t>RV131</t>
  </si>
  <si>
    <t>מחיקת גורם אחד ופתיח לרפלקציה</t>
  </si>
  <si>
    <t>ומה קורה בסוגריים? אח בדיוק סוגם שם אחד תמחוק אותם עזבו את כל התרלה עוד שתי שורות סוגם עם אחד תמחקו בסדר אז אני מקבל כאן שf שווה כאן ועוד a גד סיגה מקובל קיבלנו את זה מה נטיית לב המידית שלי לעשות</t>
  </si>
  <si>
    <t>מופעל כלל אלגברי ונכתבת תוצאה. בסוף מופיע פתיח על נטיית הלב, שיתפתח בביקורת על המימוש בהמשך.</t>
  </si>
  <si>
    <t>מחיקת אחד דורשת אימות שמדובר בגורם במכפלה. אין להכליל את הכלל בלי הייצוג.</t>
  </si>
  <si>
    <t>A23; A24</t>
  </si>
  <si>
    <t>1751, 1753, 1755, 1757, 1759, 1761</t>
  </si>
  <si>
    <t>RV132</t>
  </si>
  <si>
    <t>ביצוע המימוש המיידי</t>
  </si>
  <si>
    <t>מיד מיד לרוץ כתוב כאן הנה a הנה c הנה אני מחבר אותם פעם אחת למהפחים נכון נו מה קורה לי עם ההתרגשות מחבר אותו למהפך או שהי לא מאפשר לזק את השטויות האלה שנצא של המרוח לחבר את זה למהפך ולחבר את זה כאן עכשיו</t>
  </si>
  <si>
    <t>מודגם חיבור רכיבים במימוש מפורט. ההערכה של הדרך הזאת מגיעה ב RV133; אין לייחס אותה בדיעבד לכל משפט ביצוע.</t>
  </si>
  <si>
    <t>RV131 מציגה נטיית לב מידית ו RV133 מבקרת אותה. אפשר שהווידאו יראה הדגמה מכוונת של דרך לא יעילה; הסיווג המקומי שמרני.</t>
  </si>
  <si>
    <t>P12</t>
  </si>
  <si>
    <t>A24</t>
  </si>
  <si>
    <t>1761, 1763, 1765, 1767, 1769, 1771, 1773, 1775</t>
  </si>
  <si>
    <t>RV133</t>
  </si>
  <si>
    <t>ביקורת על מימוש מבזבז</t>
  </si>
  <si>
    <t>בכפל ולקחת את אותו AC ולחבר אותו לעוד כפל אחד בסדר ובסוף ועוד אה זה זה בסוף ועוד והקיצוב של זה סנו והכיסוב של זה מכתב פיטורים לחפש דבר אחרת לבזבזת הכסף איך אני איתך והקיצור</t>
  </si>
  <si>
    <t>אחרי הצגת מימוש מרובה רכיבים המורה מקשר אותו לבזבוז כסף ולצורך בקיצור. זו הערכת איכות הדרך מעבר לתקינות.</t>
  </si>
  <si>
    <t>הביקורת מתייחסת למימוש שהודגם ב RV132. הכתיב משובש, אך בזבוז הכסף מפורש.</t>
  </si>
  <si>
    <t>RV131 פתחה שאלה על נטיית הלב; RV132 הדגימה מימוש מפורט. הביקורת על הדרך מופיעה כאן, ולא יוחסה לכל חלון הביצוע שקדם לה.</t>
  </si>
  <si>
    <t>44:17.040: לבזבזת הכסף</t>
  </si>
  <si>
    <t>הצעה שלי: להחליף את הביקורת האישית בהשוואה מפורשת של שני תוצרים: מה נשאר שקול ואילו רכיבים ועלויות נחסכו.</t>
  </si>
  <si>
    <t>1775, 1777, 1779, 1781, 1783, 1785, 1787, 1789</t>
  </si>
  <si>
    <t>RV134</t>
  </si>
  <si>
    <t>זיהוי מבנה חלופי</t>
  </si>
  <si>
    <t>של זה בדיוק כמו שאמרת אותם לזהות את לזהות את שני אלה להגיד שניהם ב1 או שניהם באפס כלומר כל זה זה ואז אפילו פלוס עושים</t>
  </si>
  <si>
    <t>המורה מפנה לזיהוי זוג האיברים דרך מצבים שבהם שתי הכניסות זהות. בהקשר הביקורת הקודמת זו דרך לחיפוש מימוש מצומצם.</t>
  </si>
  <si>
    <t>הזיהוי נועד להחליף את המימוש המבוזבז ב RV133. בלי ההקשר אפשר לקרוא זאת כהגדרת תוכן.</t>
  </si>
  <si>
    <t>RV133 ביקרה מימוש מבזבז. כאן הזיהוי לפי מצבים זהים משמש לחיפוש חלופה, ולא רק להגדרת שער. זהו מקרה גבול לדיון עם המתייגים.</t>
  </si>
  <si>
    <t>44:27.359: להגיד שניהם ב1 או שניהם באפס</t>
  </si>
  <si>
    <t>הצעה שלי: לבקש מהתלמידים להסביר את הזיהוי, ולהראות זוג ביטויים קרובים שרק אחד מהם מתאים לאותו מבנה.</t>
  </si>
  <si>
    <t>1789, 1791, 1793, 1795, 1797, 1799</t>
  </si>
  <si>
    <t>RV135</t>
  </si>
  <si>
    <t>רפלקציה על משמעות כלכלית</t>
  </si>
  <si>
    <t>לך קפה ככה יותר יש אישור אתם מבינים זה מול זה את המשמעות הכלכלית ישן שאלות בקשות</t>
  </si>
  <si>
    <t>המורה מפנה להשוואה בין שני המימושים ולמשמעותה הכלכלית. זהו סיכום הערכת התכנון, לצד סגירת שאלות.</t>
  </si>
  <si>
    <t>רכיב העלות נלמד לאורך הרצף. בחלון זה הוא מוזכר כשאלת הבנה וסיכום, בלי הסבר חדש.</t>
  </si>
  <si>
    <t>RV133 ו RV134 הציגו מימוש מבזבז וזיהוי חלופה. ההפניה זה מול זה את המשמעות הכלכלית מסכמת את ההשוואה. התיוג תלוי בהקשר הזה.</t>
  </si>
  <si>
    <t>גרעין התיוג: ״אתם מבינים זה מול זה את המשמעות הכלכלית״. אין מכך ראיה אוטומטית לאחד מחמשת הרכיבים.</t>
  </si>
  <si>
    <t>הצעה שלי: להזמין תלמיד לנסח את ההבדל הכלכלי בין שני המימושים ואת בדיקת הסיום שישתמש בה בפעם הבאה.</t>
  </si>
  <si>
    <t>1799, 1801, 1803, 1805, 1807, 1809</t>
  </si>
  <si>
    <t>RV136</t>
  </si>
  <si>
    <t>פרידה וסיום</t>
  </si>
  <si>
    <t>שוחרים תודה רבה לכולם אני ממליץ יש מצלם אתזהכן ‏Yeah.</t>
  </si>
  <si>
    <t>המורה מודה לכולם ומסתיים הדיבור. אין הוראת תוכן או דרך חדשה.</t>
  </si>
  <si>
    <t>זמן הסיום 45:11.928 נלקח ממשך המדיה ב Drive. שורת הכתובית האחרונה נשארת בתצוגה עד 45:13.880; לא הארכנו את הסרטון לפי זמן תצוגה זה.</t>
  </si>
  <si>
    <t>1811, 1813, 1815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</si>
</sst>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ss.000"/>
    <numFmt numFmtId="165" formatCode="0.000"/>
  </numFmts>
  <fonts count="4" x14ac:knownFonts="1">
    <font>
      <sz val="12"/>
      <color theme="1"/>
      <name val="Calibri"/>
      <family val="2"/>
      <scheme val="minor"/>
    </font>
    <font>
      <b/>
      <sz val="11"/>
      <color rgb="FFFFFFFF"/>
      <name val="Arial"/>
      <family val="2"/>
    </font>
    <font>
      <sz val="11"/>
      <color rgb="FF203544"/>
      <name val="Arial"/>
      <family val="2"/>
    </font>
    <font>
      <b/>
      <sz val="12"/>
      <color rgb="FF7043A0"/>
      <name val="Arial"/>
      <family val="2"/>
    </font>
  </fonts>
  <fills count="5">
    <fill>
      <patternFill patternType="none"/>
    </fill>
    <fill>
      <patternFill patternType="gray125"/>
    </fill>
    <fill>
      <patternFill patternType="solid">
        <fgColor rgb="FF7043A0"/>
      </patternFill>
    </fill>
    <fill>
      <patternFill patternType="solid">
        <fgColor rgb="FFEEE6F7"/>
      </patternFill>
    </fill>
    <fill>
      <patternFill patternType="solid">
        <fgColor rgb="FFFFF5D9"/>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right" vertical="center" wrapText="1"/>
    </xf>
    <xf numFmtId="0" fontId="2" fillId="0" borderId="0" xfId="0" applyFont="1" applyAlignment="1">
      <alignment horizontal="right" vertical="top" wrapText="1"/>
    </xf>
    <xf numFmtId="0" fontId="3" fillId="3" borderId="0" xfId="0" applyFont="1" applyFill="1" applyAlignment="1">
      <alignment horizontal="right" vertical="top" wrapText="1"/>
    </xf>
    <xf numFmtId="164" fontId="2" fillId="0" borderId="0" xfId="0" applyNumberFormat="1" applyFont="1" applyAlignment="1">
      <alignment horizontal="right" vertical="top" wrapText="1"/>
    </xf>
    <xf numFmtId="165" fontId="2" fillId="0" borderId="0" xfId="0" applyNumberFormat="1" applyFont="1" applyAlignment="1">
      <alignment horizontal="right" vertical="top" wrapText="1"/>
    </xf>
    <xf numFmtId="0" fontId="2" fillId="4" borderId="0" xfId="0" applyFont="1" applyFill="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2CE558-CFBE-DE4D-9569-FD6B09A32F30}" name="RoiTable110" displayName="RoiTable110" ref="A1:W137" totalsRowShown="0">
  <autoFilter ref="A1:W137" xr:uid="{B42CE558-CFBE-DE4D-9569-FD6B09A32F30}"/>
  <tableColumns count="23">
    <tableColumn id="1" xr3:uid="{6B21F5B6-63B1-4C4D-BB32-FEBB527383CA}" name="מזהה"/>
    <tableColumn id="2" xr3:uid="{253470F2-7E63-C643-9602-EC07DB9E58F1}" name="התיוג שלי | הצעה"/>
    <tableColumn id="3" xr3:uid="{0D2D7B2D-E345-3641-A019-486CF89C42E5}" name="התחלה"/>
    <tableColumn id="4" xr3:uid="{6979BAA6-72A3-CD44-95C6-F1DBD5BEE6EA}" name="סיום"/>
    <tableColumn id="5" xr3:uid="{E29E00F1-320C-774F-8DB4-1D63ACDE48BF}" name="משך בשניות">
      <calculatedColumnFormula>ROUND((D2-C2)*86400,3)</calculatedColumnFormula>
    </tableColumn>
    <tableColumn id="6" xr3:uid="{A04276BB-6ACE-DB43-8B65-1BD9FC20F882}" name="כלל 15–20 שניות">
      <calculatedColumnFormula>IF(AND(E2&gt;=15,E2&lt;=20),"בטווח 15–20","לבדיקה")</calculatedColumnFormula>
    </tableColumn>
    <tableColumn id="7" xr3:uid="{5CB4B1B2-9041-4A4F-B756-7DFA08E731F0}" name="מוקד המקטע"/>
    <tableColumn id="8" xr3:uid="{66CC1A11-A1F6-414C-929F-6623A3220C95}" name="תמלול הכתוביות | ללא תיקון"/>
    <tableColumn id="9" xr3:uid="{5215D3D0-0C92-4841-AA9E-FCCF092A57F6}" name="הסבר התיוג שלי"/>
    <tableColumn id="10" xr3:uid="{FE4ECC6B-40D6-7E46-99D5-136F2CF2A9FD}" name="ביטחון בפרשנות"/>
    <tableColumn id="11" xr3:uid="{BC2D7175-3FB5-0B40-8BF8-FCFFB37C4399}" name="נדרש אימות או דיון"/>
    <tableColumn id="12" xr3:uid="{757175AE-BEAA-6744-A293-A6562EADF02C}" name="הקשר מחוץ למקטע"/>
    <tableColumn id="13" xr3:uid="{371578ED-47EC-0542-8ADD-621D34250993}" name="ליבת META בתוך המקטע"/>
    <tableColumn id="14" xr3:uid="{42B25207-0BB7-B34E-BBFE-43B32E5CD578}" name="מידת מפורשות"/>
    <tableColumn id="15" xr3:uid="{8F366446-06C2-1A47-ABF8-B0DF1406FCAA}" name="הזדמנות מוחמצת | מועמד"/>
    <tableColumn id="16" xr3:uid="{B3339C8A-3A9F-F445-A031-B39B42105AC7}" name="הצעה פדגוגית שלי"/>
    <tableColumn id="17" xr3:uid="{07D25888-B5B4-B247-8F35-023822117BB1}" name="זוגות להשוואה"/>
    <tableColumn id="18" xr3:uid="{F630259F-ECF9-9640-9793-24F047631168}" name="בדיקות פלט נמרוד"/>
    <tableColumn id="19" xr3:uid="{1E17AED4-6231-5842-8BA5-DEFCB4882AEF}" name="מזהי שורות VTT"/>
    <tableColumn id="20" xr3:uid="{91FE2BBB-56CC-774F-9F88-F999C91F6415}" name="תיוג מתייגת 1"/>
    <tableColumn id="21" xr3:uid="{D32CBF27-1F1B-E049-98BC-DAB7060EEBFD}" name="תיוג מתייגת 2"/>
    <tableColumn id="22" xr3:uid="{F6D3DEDE-19AF-0A47-9CE5-61B645A93538}" name="הכרעה אנושית מוסכמת"/>
    <tableColumn id="23" xr3:uid="{17B0A909-4604-9346-A11C-72B21AC4E843}" name="אימות אודיו ולוח"/>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E137-439E-CD4D-BB32-D300C30A894F}">
  <dimension ref="A1:W137"/>
  <sheetViews>
    <sheetView tabSelected="1" workbookViewId="0">
      <selection sqref="A1:W137"/>
    </sheetView>
  </sheetViews>
  <sheetFormatPr baseColWidth="10" defaultRowHeight="16" x14ac:dyDescent="0.2"/>
  <sheetData>
    <row r="1" spans="1:23" ht="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85" x14ac:dyDescent="0.2">
      <c r="A2" s="2" t="s">
        <v>23</v>
      </c>
      <c r="B2" s="3" t="s">
        <v>24</v>
      </c>
      <c r="C2" s="4">
        <v>0</v>
      </c>
      <c r="D2" s="4">
        <v>2.3148148148148149E-4</v>
      </c>
      <c r="E2" s="5">
        <f t="shared" ref="E2:E65" si="0">ROUND((D2-C2)*86400,3)</f>
        <v>20</v>
      </c>
      <c r="F2" s="2" t="str">
        <f t="shared" ref="F2:F65" si="1">IF(AND(E2&gt;=15,E2&lt;=20),"בטווח 15–20","לבדיקה")</f>
        <v>בטווח 15–20</v>
      </c>
      <c r="G2" s="2" t="s">
        <v>25</v>
      </c>
      <c r="H2" s="2" t="s">
        <v>26</v>
      </c>
      <c r="I2" s="2" t="s">
        <v>27</v>
      </c>
      <c r="J2" s="2" t="s">
        <v>28</v>
      </c>
      <c r="K2" s="2"/>
      <c r="L2" s="2" t="s">
        <v>29</v>
      </c>
      <c r="M2" s="2"/>
      <c r="N2" s="2" t="s">
        <v>30</v>
      </c>
      <c r="O2" s="2" t="s">
        <v>31</v>
      </c>
      <c r="P2" s="2"/>
      <c r="Q2" s="2"/>
      <c r="R2" s="2"/>
      <c r="S2" s="2" t="s">
        <v>32</v>
      </c>
      <c r="T2" s="6"/>
      <c r="U2" s="6"/>
      <c r="V2" s="6"/>
      <c r="W2" s="6" t="s">
        <v>33</v>
      </c>
    </row>
    <row r="3" spans="1:23" ht="398" x14ac:dyDescent="0.2">
      <c r="A3" s="2" t="s">
        <v>34</v>
      </c>
      <c r="B3" s="3" t="s">
        <v>24</v>
      </c>
      <c r="C3" s="4">
        <v>2.3148148148148149E-4</v>
      </c>
      <c r="D3" s="4">
        <v>4.6296296296296298E-4</v>
      </c>
      <c r="E3" s="5">
        <f t="shared" si="0"/>
        <v>20</v>
      </c>
      <c r="F3" s="2" t="str">
        <f t="shared" si="1"/>
        <v>בטווח 15–20</v>
      </c>
      <c r="G3" s="2" t="s">
        <v>35</v>
      </c>
      <c r="H3" s="2" t="s">
        <v>36</v>
      </c>
      <c r="I3" s="2" t="s">
        <v>37</v>
      </c>
      <c r="J3" s="2" t="s">
        <v>38</v>
      </c>
      <c r="K3" s="2"/>
      <c r="L3" s="2" t="s">
        <v>29</v>
      </c>
      <c r="M3" s="2"/>
      <c r="N3" s="2" t="s">
        <v>30</v>
      </c>
      <c r="O3" s="2" t="s">
        <v>31</v>
      </c>
      <c r="P3" s="2"/>
      <c r="Q3" s="2"/>
      <c r="R3" s="2"/>
      <c r="S3" s="2" t="s">
        <v>39</v>
      </c>
      <c r="T3" s="6"/>
      <c r="U3" s="6"/>
      <c r="V3" s="6"/>
      <c r="W3" s="6" t="s">
        <v>33</v>
      </c>
    </row>
    <row r="4" spans="1:23" ht="328" x14ac:dyDescent="0.2">
      <c r="A4" s="2" t="s">
        <v>40</v>
      </c>
      <c r="B4" s="3" t="s">
        <v>24</v>
      </c>
      <c r="C4" s="4">
        <v>4.6296296296296298E-4</v>
      </c>
      <c r="D4" s="4">
        <v>6.9444444444444447E-4</v>
      </c>
      <c r="E4" s="5">
        <f t="shared" si="0"/>
        <v>20</v>
      </c>
      <c r="F4" s="2" t="str">
        <f t="shared" si="1"/>
        <v>בטווח 15–20</v>
      </c>
      <c r="G4" s="2" t="s">
        <v>41</v>
      </c>
      <c r="H4" s="2" t="s">
        <v>42</v>
      </c>
      <c r="I4" s="2" t="s">
        <v>43</v>
      </c>
      <c r="J4" s="2" t="s">
        <v>28</v>
      </c>
      <c r="K4" s="2"/>
      <c r="L4" s="2" t="s">
        <v>29</v>
      </c>
      <c r="M4" s="2"/>
      <c r="N4" s="2" t="s">
        <v>30</v>
      </c>
      <c r="O4" s="2" t="s">
        <v>31</v>
      </c>
      <c r="P4" s="2"/>
      <c r="Q4" s="2"/>
      <c r="R4" s="2"/>
      <c r="S4" s="2" t="s">
        <v>44</v>
      </c>
      <c r="T4" s="6"/>
      <c r="U4" s="6"/>
      <c r="V4" s="6"/>
      <c r="W4" s="6" t="s">
        <v>33</v>
      </c>
    </row>
    <row r="5" spans="1:23" ht="356" x14ac:dyDescent="0.2">
      <c r="A5" s="2" t="s">
        <v>45</v>
      </c>
      <c r="B5" s="3" t="s">
        <v>24</v>
      </c>
      <c r="C5" s="4">
        <v>6.9444444444444447E-4</v>
      </c>
      <c r="D5" s="4">
        <v>9.2592592592592596E-4</v>
      </c>
      <c r="E5" s="5">
        <f t="shared" si="0"/>
        <v>20</v>
      </c>
      <c r="F5" s="2" t="str">
        <f t="shared" si="1"/>
        <v>בטווח 15–20</v>
      </c>
      <c r="G5" s="2" t="s">
        <v>46</v>
      </c>
      <c r="H5" s="2" t="s">
        <v>47</v>
      </c>
      <c r="I5" s="2" t="s">
        <v>48</v>
      </c>
      <c r="J5" s="2" t="s">
        <v>28</v>
      </c>
      <c r="K5" s="2"/>
      <c r="L5" s="2" t="s">
        <v>29</v>
      </c>
      <c r="M5" s="2"/>
      <c r="N5" s="2" t="s">
        <v>30</v>
      </c>
      <c r="O5" s="2" t="s">
        <v>31</v>
      </c>
      <c r="P5" s="2"/>
      <c r="Q5" s="2"/>
      <c r="R5" s="2"/>
      <c r="S5" s="2" t="s">
        <v>49</v>
      </c>
      <c r="T5" s="6"/>
      <c r="U5" s="6"/>
      <c r="V5" s="6"/>
      <c r="W5" s="6" t="s">
        <v>33</v>
      </c>
    </row>
    <row r="6" spans="1:23" ht="356" x14ac:dyDescent="0.2">
      <c r="A6" s="2" t="s">
        <v>50</v>
      </c>
      <c r="B6" s="3" t="s">
        <v>51</v>
      </c>
      <c r="C6" s="4">
        <v>9.2592592592592596E-4</v>
      </c>
      <c r="D6" s="4">
        <v>1.1574074074074073E-3</v>
      </c>
      <c r="E6" s="5">
        <f t="shared" si="0"/>
        <v>20</v>
      </c>
      <c r="F6" s="2" t="str">
        <f t="shared" si="1"/>
        <v>בטווח 15–20</v>
      </c>
      <c r="G6" s="2" t="s">
        <v>52</v>
      </c>
      <c r="H6" s="2" t="s">
        <v>53</v>
      </c>
      <c r="I6" s="2" t="s">
        <v>54</v>
      </c>
      <c r="J6" s="2" t="s">
        <v>28</v>
      </c>
      <c r="K6" s="2"/>
      <c r="L6" s="2" t="s">
        <v>29</v>
      </c>
      <c r="M6" s="2"/>
      <c r="N6" s="2" t="s">
        <v>30</v>
      </c>
      <c r="O6" s="2" t="s">
        <v>31</v>
      </c>
      <c r="P6" s="2"/>
      <c r="Q6" s="2"/>
      <c r="R6" s="2"/>
      <c r="S6" s="2" t="s">
        <v>55</v>
      </c>
      <c r="T6" s="6"/>
      <c r="U6" s="6"/>
      <c r="V6" s="6"/>
      <c r="W6" s="6" t="s">
        <v>33</v>
      </c>
    </row>
    <row r="7" spans="1:23" ht="328" x14ac:dyDescent="0.2">
      <c r="A7" s="2" t="s">
        <v>56</v>
      </c>
      <c r="B7" s="3" t="s">
        <v>57</v>
      </c>
      <c r="C7" s="4">
        <v>1.1574074074074073E-3</v>
      </c>
      <c r="D7" s="4">
        <v>1.3888888888888889E-3</v>
      </c>
      <c r="E7" s="5">
        <f t="shared" si="0"/>
        <v>20</v>
      </c>
      <c r="F7" s="2" t="str">
        <f t="shared" si="1"/>
        <v>בטווח 15–20</v>
      </c>
      <c r="G7" s="2" t="s">
        <v>58</v>
      </c>
      <c r="H7" s="2" t="s">
        <v>59</v>
      </c>
      <c r="I7" s="2" t="s">
        <v>60</v>
      </c>
      <c r="J7" s="2" t="s">
        <v>28</v>
      </c>
      <c r="K7" s="2" t="s">
        <v>61</v>
      </c>
      <c r="L7" s="2" t="s">
        <v>62</v>
      </c>
      <c r="M7" s="2" t="s">
        <v>63</v>
      </c>
      <c r="N7" s="2" t="s">
        <v>64</v>
      </c>
      <c r="O7" s="2" t="s">
        <v>31</v>
      </c>
      <c r="P7" s="2" t="s">
        <v>65</v>
      </c>
      <c r="Q7" s="2"/>
      <c r="R7" s="2"/>
      <c r="S7" s="2" t="s">
        <v>66</v>
      </c>
      <c r="T7" s="6"/>
      <c r="U7" s="6"/>
      <c r="V7" s="6"/>
      <c r="W7" s="6" t="s">
        <v>33</v>
      </c>
    </row>
    <row r="8" spans="1:23" ht="285" x14ac:dyDescent="0.2">
      <c r="A8" s="2" t="s">
        <v>67</v>
      </c>
      <c r="B8" s="3" t="s">
        <v>57</v>
      </c>
      <c r="C8" s="4">
        <v>1.3888888888888889E-3</v>
      </c>
      <c r="D8" s="4">
        <v>1.6203703703703703E-3</v>
      </c>
      <c r="E8" s="5">
        <f t="shared" si="0"/>
        <v>20</v>
      </c>
      <c r="F8" s="2" t="str">
        <f t="shared" si="1"/>
        <v>בטווח 15–20</v>
      </c>
      <c r="G8" s="2" t="s">
        <v>68</v>
      </c>
      <c r="H8" s="2" t="s">
        <v>69</v>
      </c>
      <c r="I8" s="2" t="s">
        <v>70</v>
      </c>
      <c r="J8" s="2" t="s">
        <v>28</v>
      </c>
      <c r="K8" s="2" t="s">
        <v>71</v>
      </c>
      <c r="L8" s="2" t="s">
        <v>72</v>
      </c>
      <c r="M8" s="2" t="s">
        <v>73</v>
      </c>
      <c r="N8" s="2" t="s">
        <v>64</v>
      </c>
      <c r="O8" s="2" t="s">
        <v>31</v>
      </c>
      <c r="P8" s="2" t="s">
        <v>74</v>
      </c>
      <c r="Q8" s="2"/>
      <c r="R8" s="2"/>
      <c r="S8" s="2" t="s">
        <v>75</v>
      </c>
      <c r="T8" s="6"/>
      <c r="U8" s="6"/>
      <c r="V8" s="6"/>
      <c r="W8" s="6" t="s">
        <v>33</v>
      </c>
    </row>
    <row r="9" spans="1:23" ht="328" x14ac:dyDescent="0.2">
      <c r="A9" s="2" t="s">
        <v>76</v>
      </c>
      <c r="B9" s="3" t="s">
        <v>51</v>
      </c>
      <c r="C9" s="4">
        <v>1.6203703703703703E-3</v>
      </c>
      <c r="D9" s="4">
        <v>1.8518518518518519E-3</v>
      </c>
      <c r="E9" s="5">
        <f t="shared" si="0"/>
        <v>20</v>
      </c>
      <c r="F9" s="2" t="str">
        <f t="shared" si="1"/>
        <v>בטווח 15–20</v>
      </c>
      <c r="G9" s="2" t="s">
        <v>77</v>
      </c>
      <c r="H9" s="2" t="s">
        <v>78</v>
      </c>
      <c r="I9" s="2" t="s">
        <v>79</v>
      </c>
      <c r="J9" s="2" t="s">
        <v>28</v>
      </c>
      <c r="K9" s="2"/>
      <c r="L9" s="2" t="s">
        <v>29</v>
      </c>
      <c r="M9" s="2"/>
      <c r="N9" s="2" t="s">
        <v>30</v>
      </c>
      <c r="O9" s="2" t="s">
        <v>31</v>
      </c>
      <c r="P9" s="2"/>
      <c r="Q9" s="2"/>
      <c r="R9" s="2" t="s">
        <v>80</v>
      </c>
      <c r="S9" s="2" t="s">
        <v>81</v>
      </c>
      <c r="T9" s="6"/>
      <c r="U9" s="6"/>
      <c r="V9" s="6"/>
      <c r="W9" s="6" t="s">
        <v>33</v>
      </c>
    </row>
    <row r="10" spans="1:23" ht="255" x14ac:dyDescent="0.2">
      <c r="A10" s="2" t="s">
        <v>82</v>
      </c>
      <c r="B10" s="3" t="s">
        <v>51</v>
      </c>
      <c r="C10" s="4">
        <v>1.8518518518518519E-3</v>
      </c>
      <c r="D10" s="4">
        <v>2.0833333333333333E-3</v>
      </c>
      <c r="E10" s="5">
        <f t="shared" si="0"/>
        <v>20</v>
      </c>
      <c r="F10" s="2" t="str">
        <f t="shared" si="1"/>
        <v>בטווח 15–20</v>
      </c>
      <c r="G10" s="2" t="s">
        <v>83</v>
      </c>
      <c r="H10" s="2" t="s">
        <v>84</v>
      </c>
      <c r="I10" s="2" t="s">
        <v>85</v>
      </c>
      <c r="J10" s="2" t="s">
        <v>86</v>
      </c>
      <c r="K10" s="2"/>
      <c r="L10" s="2" t="s">
        <v>29</v>
      </c>
      <c r="M10" s="2"/>
      <c r="N10" s="2" t="s">
        <v>30</v>
      </c>
      <c r="O10" s="2" t="s">
        <v>31</v>
      </c>
      <c r="P10" s="2"/>
      <c r="Q10" s="2"/>
      <c r="R10" s="2" t="s">
        <v>87</v>
      </c>
      <c r="S10" s="2" t="s">
        <v>88</v>
      </c>
      <c r="T10" s="6"/>
      <c r="U10" s="6"/>
      <c r="V10" s="6"/>
      <c r="W10" s="6" t="s">
        <v>33</v>
      </c>
    </row>
    <row r="11" spans="1:23" ht="342" x14ac:dyDescent="0.2">
      <c r="A11" s="2" t="s">
        <v>89</v>
      </c>
      <c r="B11" s="3" t="s">
        <v>51</v>
      </c>
      <c r="C11" s="4">
        <v>2.0833333333333333E-3</v>
      </c>
      <c r="D11" s="4">
        <v>2.3148148148148147E-3</v>
      </c>
      <c r="E11" s="5">
        <f t="shared" si="0"/>
        <v>20</v>
      </c>
      <c r="F11" s="2" t="str">
        <f t="shared" si="1"/>
        <v>בטווח 15–20</v>
      </c>
      <c r="G11" s="2" t="s">
        <v>90</v>
      </c>
      <c r="H11" s="2" t="s">
        <v>91</v>
      </c>
      <c r="I11" s="2" t="s">
        <v>92</v>
      </c>
      <c r="J11" s="2" t="s">
        <v>28</v>
      </c>
      <c r="K11" s="2"/>
      <c r="L11" s="2" t="s">
        <v>29</v>
      </c>
      <c r="M11" s="2"/>
      <c r="N11" s="2" t="s">
        <v>30</v>
      </c>
      <c r="O11" s="2" t="s">
        <v>31</v>
      </c>
      <c r="P11" s="2"/>
      <c r="Q11" s="2"/>
      <c r="R11" s="2"/>
      <c r="S11" s="2" t="s">
        <v>93</v>
      </c>
      <c r="T11" s="6"/>
      <c r="U11" s="6"/>
      <c r="V11" s="6"/>
      <c r="W11" s="6" t="s">
        <v>33</v>
      </c>
    </row>
    <row r="12" spans="1:23" ht="398" x14ac:dyDescent="0.2">
      <c r="A12" s="2" t="s">
        <v>94</v>
      </c>
      <c r="B12" s="3" t="s">
        <v>51</v>
      </c>
      <c r="C12" s="4">
        <v>2.3148148148148147E-3</v>
      </c>
      <c r="D12" s="4">
        <v>2.5462962962962965E-3</v>
      </c>
      <c r="E12" s="5">
        <f t="shared" si="0"/>
        <v>20</v>
      </c>
      <c r="F12" s="2" t="str">
        <f t="shared" si="1"/>
        <v>בטווח 15–20</v>
      </c>
      <c r="G12" s="2" t="s">
        <v>95</v>
      </c>
      <c r="H12" s="2" t="s">
        <v>96</v>
      </c>
      <c r="I12" s="2" t="s">
        <v>97</v>
      </c>
      <c r="J12" s="2" t="s">
        <v>38</v>
      </c>
      <c r="K12" s="2"/>
      <c r="L12" s="2" t="s">
        <v>29</v>
      </c>
      <c r="M12" s="2"/>
      <c r="N12" s="2" t="s">
        <v>30</v>
      </c>
      <c r="O12" s="2" t="s">
        <v>31</v>
      </c>
      <c r="P12" s="2"/>
      <c r="Q12" s="2"/>
      <c r="R12" s="2" t="s">
        <v>98</v>
      </c>
      <c r="S12" s="2" t="s">
        <v>99</v>
      </c>
      <c r="T12" s="6"/>
      <c r="U12" s="6"/>
      <c r="V12" s="6"/>
      <c r="W12" s="6" t="s">
        <v>33</v>
      </c>
    </row>
    <row r="13" spans="1:23" ht="300" x14ac:dyDescent="0.2">
      <c r="A13" s="2" t="s">
        <v>100</v>
      </c>
      <c r="B13" s="3" t="s">
        <v>51</v>
      </c>
      <c r="C13" s="4">
        <v>2.5462962962962965E-3</v>
      </c>
      <c r="D13" s="4">
        <v>2.7777777777777779E-3</v>
      </c>
      <c r="E13" s="5">
        <f t="shared" si="0"/>
        <v>20</v>
      </c>
      <c r="F13" s="2" t="str">
        <f t="shared" si="1"/>
        <v>בטווח 15–20</v>
      </c>
      <c r="G13" s="2" t="s">
        <v>101</v>
      </c>
      <c r="H13" s="2" t="s">
        <v>102</v>
      </c>
      <c r="I13" s="2" t="s">
        <v>103</v>
      </c>
      <c r="J13" s="2" t="s">
        <v>28</v>
      </c>
      <c r="K13" s="2"/>
      <c r="L13" s="2" t="s">
        <v>29</v>
      </c>
      <c r="M13" s="2"/>
      <c r="N13" s="2" t="s">
        <v>30</v>
      </c>
      <c r="O13" s="2" t="s">
        <v>31</v>
      </c>
      <c r="P13" s="2"/>
      <c r="Q13" s="2"/>
      <c r="R13" s="2" t="s">
        <v>104</v>
      </c>
      <c r="S13" s="2" t="s">
        <v>105</v>
      </c>
      <c r="T13" s="6"/>
      <c r="U13" s="6"/>
      <c r="V13" s="6"/>
      <c r="W13" s="6" t="s">
        <v>33</v>
      </c>
    </row>
    <row r="14" spans="1:23" ht="285" x14ac:dyDescent="0.2">
      <c r="A14" s="2" t="s">
        <v>106</v>
      </c>
      <c r="B14" s="3" t="s">
        <v>51</v>
      </c>
      <c r="C14" s="4">
        <v>2.7777777777777779E-3</v>
      </c>
      <c r="D14" s="4">
        <v>3.0092592592592593E-3</v>
      </c>
      <c r="E14" s="5">
        <f t="shared" si="0"/>
        <v>20</v>
      </c>
      <c r="F14" s="2" t="str">
        <f t="shared" si="1"/>
        <v>בטווח 15–20</v>
      </c>
      <c r="G14" s="2" t="s">
        <v>107</v>
      </c>
      <c r="H14" s="2" t="s">
        <v>108</v>
      </c>
      <c r="I14" s="2" t="s">
        <v>109</v>
      </c>
      <c r="J14" s="2" t="s">
        <v>28</v>
      </c>
      <c r="K14" s="2"/>
      <c r="L14" s="2" t="s">
        <v>29</v>
      </c>
      <c r="M14" s="2"/>
      <c r="N14" s="2" t="s">
        <v>30</v>
      </c>
      <c r="O14" s="2" t="s">
        <v>31</v>
      </c>
      <c r="P14" s="2"/>
      <c r="Q14" s="2"/>
      <c r="R14" s="2" t="s">
        <v>110</v>
      </c>
      <c r="S14" s="2" t="s">
        <v>111</v>
      </c>
      <c r="T14" s="6"/>
      <c r="U14" s="6"/>
      <c r="V14" s="6"/>
      <c r="W14" s="6" t="s">
        <v>33</v>
      </c>
    </row>
    <row r="15" spans="1:23" ht="255" x14ac:dyDescent="0.2">
      <c r="A15" s="2" t="s">
        <v>112</v>
      </c>
      <c r="B15" s="3" t="s">
        <v>24</v>
      </c>
      <c r="C15" s="4">
        <v>3.0092592592592593E-3</v>
      </c>
      <c r="D15" s="4">
        <v>3.2407407407407406E-3</v>
      </c>
      <c r="E15" s="5">
        <f t="shared" si="0"/>
        <v>20</v>
      </c>
      <c r="F15" s="2" t="str">
        <f t="shared" si="1"/>
        <v>בטווח 15–20</v>
      </c>
      <c r="G15" s="2" t="s">
        <v>113</v>
      </c>
      <c r="H15" s="2" t="s">
        <v>114</v>
      </c>
      <c r="I15" s="2" t="s">
        <v>115</v>
      </c>
      <c r="J15" s="2" t="s">
        <v>86</v>
      </c>
      <c r="K15" s="2"/>
      <c r="L15" s="2" t="s">
        <v>29</v>
      </c>
      <c r="M15" s="2"/>
      <c r="N15" s="2" t="s">
        <v>30</v>
      </c>
      <c r="O15" s="2" t="s">
        <v>31</v>
      </c>
      <c r="P15" s="2"/>
      <c r="Q15" s="2"/>
      <c r="R15" s="2"/>
      <c r="S15" s="2" t="s">
        <v>116</v>
      </c>
      <c r="T15" s="6"/>
      <c r="U15" s="6"/>
      <c r="V15" s="6"/>
      <c r="W15" s="6" t="s">
        <v>33</v>
      </c>
    </row>
    <row r="16" spans="1:23" ht="356" x14ac:dyDescent="0.2">
      <c r="A16" s="2" t="s">
        <v>117</v>
      </c>
      <c r="B16" s="3" t="s">
        <v>51</v>
      </c>
      <c r="C16" s="4">
        <v>3.2407407407407406E-3</v>
      </c>
      <c r="D16" s="4">
        <v>3.472222222222222E-3</v>
      </c>
      <c r="E16" s="5">
        <f t="shared" si="0"/>
        <v>20</v>
      </c>
      <c r="F16" s="2" t="str">
        <f t="shared" si="1"/>
        <v>בטווח 15–20</v>
      </c>
      <c r="G16" s="2" t="s">
        <v>118</v>
      </c>
      <c r="H16" s="2" t="s">
        <v>119</v>
      </c>
      <c r="I16" s="2" t="s">
        <v>120</v>
      </c>
      <c r="J16" s="2" t="s">
        <v>28</v>
      </c>
      <c r="K16" s="2"/>
      <c r="L16" s="2" t="s">
        <v>29</v>
      </c>
      <c r="M16" s="2"/>
      <c r="N16" s="2" t="s">
        <v>30</v>
      </c>
      <c r="O16" s="2" t="s">
        <v>31</v>
      </c>
      <c r="P16" s="2"/>
      <c r="Q16" s="2"/>
      <c r="R16" s="2"/>
      <c r="S16" s="2" t="s">
        <v>121</v>
      </c>
      <c r="T16" s="6"/>
      <c r="U16" s="6"/>
      <c r="V16" s="6"/>
      <c r="W16" s="6" t="s">
        <v>33</v>
      </c>
    </row>
    <row r="17" spans="1:23" ht="356" x14ac:dyDescent="0.2">
      <c r="A17" s="2" t="s">
        <v>122</v>
      </c>
      <c r="B17" s="3" t="s">
        <v>51</v>
      </c>
      <c r="C17" s="4">
        <v>3.472222222222222E-3</v>
      </c>
      <c r="D17" s="4">
        <v>3.7037037037037038E-3</v>
      </c>
      <c r="E17" s="5">
        <f t="shared" si="0"/>
        <v>20</v>
      </c>
      <c r="F17" s="2" t="str">
        <f t="shared" si="1"/>
        <v>בטווח 15–20</v>
      </c>
      <c r="G17" s="2" t="s">
        <v>123</v>
      </c>
      <c r="H17" s="2" t="s">
        <v>124</v>
      </c>
      <c r="I17" s="2" t="s">
        <v>125</v>
      </c>
      <c r="J17" s="2" t="s">
        <v>28</v>
      </c>
      <c r="K17" s="2"/>
      <c r="L17" s="2" t="s">
        <v>29</v>
      </c>
      <c r="M17" s="2"/>
      <c r="N17" s="2" t="s">
        <v>30</v>
      </c>
      <c r="O17" s="2" t="s">
        <v>31</v>
      </c>
      <c r="P17" s="2"/>
      <c r="Q17" s="2"/>
      <c r="R17" s="2"/>
      <c r="S17" s="2" t="s">
        <v>126</v>
      </c>
      <c r="T17" s="6"/>
      <c r="U17" s="6"/>
      <c r="V17" s="6"/>
      <c r="W17" s="6" t="s">
        <v>33</v>
      </c>
    </row>
    <row r="18" spans="1:23" ht="314" x14ac:dyDescent="0.2">
      <c r="A18" s="2" t="s">
        <v>127</v>
      </c>
      <c r="B18" s="3" t="s">
        <v>24</v>
      </c>
      <c r="C18" s="4">
        <v>3.7037037037037038E-3</v>
      </c>
      <c r="D18" s="4">
        <v>3.9351851851851848E-3</v>
      </c>
      <c r="E18" s="5">
        <f t="shared" si="0"/>
        <v>20</v>
      </c>
      <c r="F18" s="2" t="str">
        <f t="shared" si="1"/>
        <v>בטווח 15–20</v>
      </c>
      <c r="G18" s="2" t="s">
        <v>128</v>
      </c>
      <c r="H18" s="2" t="s">
        <v>129</v>
      </c>
      <c r="I18" s="2" t="s">
        <v>130</v>
      </c>
      <c r="J18" s="2" t="s">
        <v>38</v>
      </c>
      <c r="K18" s="2"/>
      <c r="L18" s="2" t="s">
        <v>29</v>
      </c>
      <c r="M18" s="2"/>
      <c r="N18" s="2" t="s">
        <v>30</v>
      </c>
      <c r="O18" s="2" t="s">
        <v>31</v>
      </c>
      <c r="P18" s="2"/>
      <c r="Q18" s="2"/>
      <c r="R18" s="2"/>
      <c r="S18" s="2" t="s">
        <v>131</v>
      </c>
      <c r="T18" s="6"/>
      <c r="U18" s="6"/>
      <c r="V18" s="6"/>
      <c r="W18" s="6" t="s">
        <v>33</v>
      </c>
    </row>
    <row r="19" spans="1:23" ht="342" x14ac:dyDescent="0.2">
      <c r="A19" s="2" t="s">
        <v>132</v>
      </c>
      <c r="B19" s="3" t="s">
        <v>51</v>
      </c>
      <c r="C19" s="4">
        <v>3.9351851851851848E-3</v>
      </c>
      <c r="D19" s="4">
        <v>4.1666666666666666E-3</v>
      </c>
      <c r="E19" s="5">
        <f t="shared" si="0"/>
        <v>20</v>
      </c>
      <c r="F19" s="2" t="str">
        <f t="shared" si="1"/>
        <v>בטווח 15–20</v>
      </c>
      <c r="G19" s="2" t="s">
        <v>133</v>
      </c>
      <c r="H19" s="2" t="s">
        <v>134</v>
      </c>
      <c r="I19" s="2" t="s">
        <v>135</v>
      </c>
      <c r="J19" s="2" t="s">
        <v>28</v>
      </c>
      <c r="K19" s="2"/>
      <c r="L19" s="2" t="s">
        <v>29</v>
      </c>
      <c r="M19" s="2"/>
      <c r="N19" s="2" t="s">
        <v>30</v>
      </c>
      <c r="O19" s="2" t="s">
        <v>31</v>
      </c>
      <c r="P19" s="2"/>
      <c r="Q19" s="2"/>
      <c r="R19" s="2" t="s">
        <v>136</v>
      </c>
      <c r="S19" s="2" t="s">
        <v>137</v>
      </c>
      <c r="T19" s="6"/>
      <c r="U19" s="6"/>
      <c r="V19" s="6"/>
      <c r="W19" s="6" t="s">
        <v>33</v>
      </c>
    </row>
    <row r="20" spans="1:23" ht="240" x14ac:dyDescent="0.2">
      <c r="A20" s="2" t="s">
        <v>138</v>
      </c>
      <c r="B20" s="3" t="s">
        <v>51</v>
      </c>
      <c r="C20" s="4">
        <v>4.1666666666666666E-3</v>
      </c>
      <c r="D20" s="4">
        <v>4.3981481481481484E-3</v>
      </c>
      <c r="E20" s="5">
        <f t="shared" si="0"/>
        <v>20</v>
      </c>
      <c r="F20" s="2" t="str">
        <f t="shared" si="1"/>
        <v>בטווח 15–20</v>
      </c>
      <c r="G20" s="2" t="s">
        <v>139</v>
      </c>
      <c r="H20" s="2" t="s">
        <v>140</v>
      </c>
      <c r="I20" s="2" t="s">
        <v>141</v>
      </c>
      <c r="J20" s="2" t="s">
        <v>86</v>
      </c>
      <c r="K20" s="2"/>
      <c r="L20" s="2" t="s">
        <v>29</v>
      </c>
      <c r="M20" s="2"/>
      <c r="N20" s="2" t="s">
        <v>30</v>
      </c>
      <c r="O20" s="2" t="s">
        <v>31</v>
      </c>
      <c r="P20" s="2"/>
      <c r="Q20" s="2"/>
      <c r="R20" s="2"/>
      <c r="S20" s="2" t="s">
        <v>142</v>
      </c>
      <c r="T20" s="6"/>
      <c r="U20" s="6"/>
      <c r="V20" s="6"/>
      <c r="W20" s="6" t="s">
        <v>33</v>
      </c>
    </row>
    <row r="21" spans="1:23" ht="255" x14ac:dyDescent="0.2">
      <c r="A21" s="2" t="s">
        <v>143</v>
      </c>
      <c r="B21" s="3" t="s">
        <v>51</v>
      </c>
      <c r="C21" s="4">
        <v>4.3981481481481484E-3</v>
      </c>
      <c r="D21" s="4">
        <v>4.6296296296296294E-3</v>
      </c>
      <c r="E21" s="5">
        <f t="shared" si="0"/>
        <v>20</v>
      </c>
      <c r="F21" s="2" t="str">
        <f t="shared" si="1"/>
        <v>בטווח 15–20</v>
      </c>
      <c r="G21" s="2" t="s">
        <v>144</v>
      </c>
      <c r="H21" s="2" t="s">
        <v>145</v>
      </c>
      <c r="I21" s="2" t="s">
        <v>146</v>
      </c>
      <c r="J21" s="2" t="s">
        <v>38</v>
      </c>
      <c r="K21" s="2"/>
      <c r="L21" s="2" t="s">
        <v>29</v>
      </c>
      <c r="M21" s="2"/>
      <c r="N21" s="2" t="s">
        <v>30</v>
      </c>
      <c r="O21" s="2" t="s">
        <v>31</v>
      </c>
      <c r="P21" s="2"/>
      <c r="Q21" s="2" t="s">
        <v>147</v>
      </c>
      <c r="R21" s="2" t="s">
        <v>148</v>
      </c>
      <c r="S21" s="2" t="s">
        <v>149</v>
      </c>
      <c r="T21" s="6"/>
      <c r="U21" s="6"/>
      <c r="V21" s="6"/>
      <c r="W21" s="6" t="s">
        <v>33</v>
      </c>
    </row>
    <row r="22" spans="1:23" ht="409.6" x14ac:dyDescent="0.2">
      <c r="A22" s="2" t="s">
        <v>150</v>
      </c>
      <c r="B22" s="3" t="s">
        <v>57</v>
      </c>
      <c r="C22" s="4">
        <v>4.6296296296296294E-3</v>
      </c>
      <c r="D22" s="4">
        <v>4.8611111111111112E-3</v>
      </c>
      <c r="E22" s="5">
        <f t="shared" si="0"/>
        <v>20</v>
      </c>
      <c r="F22" s="2" t="str">
        <f t="shared" si="1"/>
        <v>בטווח 15–20</v>
      </c>
      <c r="G22" s="2" t="s">
        <v>151</v>
      </c>
      <c r="H22" s="2" t="s">
        <v>152</v>
      </c>
      <c r="I22" s="2" t="s">
        <v>153</v>
      </c>
      <c r="J22" s="2" t="s">
        <v>28</v>
      </c>
      <c r="K22" s="2" t="s">
        <v>154</v>
      </c>
      <c r="L22" s="2" t="s">
        <v>155</v>
      </c>
      <c r="M22" s="2" t="s">
        <v>156</v>
      </c>
      <c r="N22" s="2" t="s">
        <v>157</v>
      </c>
      <c r="O22" s="2" t="s">
        <v>31</v>
      </c>
      <c r="P22" s="2" t="s">
        <v>158</v>
      </c>
      <c r="Q22" s="2" t="s">
        <v>147</v>
      </c>
      <c r="R22" s="2" t="s">
        <v>159</v>
      </c>
      <c r="S22" s="2" t="s">
        <v>160</v>
      </c>
      <c r="T22" s="6"/>
      <c r="U22" s="6"/>
      <c r="V22" s="6"/>
      <c r="W22" s="6" t="s">
        <v>33</v>
      </c>
    </row>
    <row r="23" spans="1:23" ht="409.6" x14ac:dyDescent="0.2">
      <c r="A23" s="2" t="s">
        <v>161</v>
      </c>
      <c r="B23" s="3" t="s">
        <v>51</v>
      </c>
      <c r="C23" s="4">
        <v>4.8611111111111112E-3</v>
      </c>
      <c r="D23" s="4">
        <v>5.092592592592593E-3</v>
      </c>
      <c r="E23" s="5">
        <f t="shared" si="0"/>
        <v>20</v>
      </c>
      <c r="F23" s="2" t="str">
        <f t="shared" si="1"/>
        <v>בטווח 15–20</v>
      </c>
      <c r="G23" s="2" t="s">
        <v>162</v>
      </c>
      <c r="H23" s="2" t="s">
        <v>163</v>
      </c>
      <c r="I23" s="2" t="s">
        <v>164</v>
      </c>
      <c r="J23" s="2" t="s">
        <v>28</v>
      </c>
      <c r="K23" s="2" t="s">
        <v>165</v>
      </c>
      <c r="L23" s="2" t="s">
        <v>29</v>
      </c>
      <c r="M23" s="2"/>
      <c r="N23" s="2" t="s">
        <v>30</v>
      </c>
      <c r="O23" s="2" t="s">
        <v>31</v>
      </c>
      <c r="P23" s="2"/>
      <c r="Q23" s="2"/>
      <c r="R23" s="2" t="s">
        <v>166</v>
      </c>
      <c r="S23" s="2" t="s">
        <v>167</v>
      </c>
      <c r="T23" s="6"/>
      <c r="U23" s="6"/>
      <c r="V23" s="6"/>
      <c r="W23" s="6" t="s">
        <v>33</v>
      </c>
    </row>
    <row r="24" spans="1:23" ht="398" x14ac:dyDescent="0.2">
      <c r="A24" s="2" t="s">
        <v>168</v>
      </c>
      <c r="B24" s="3" t="s">
        <v>51</v>
      </c>
      <c r="C24" s="4">
        <v>5.092592592592593E-3</v>
      </c>
      <c r="D24" s="4">
        <v>5.324074074074074E-3</v>
      </c>
      <c r="E24" s="5">
        <f t="shared" si="0"/>
        <v>20</v>
      </c>
      <c r="F24" s="2" t="str">
        <f t="shared" si="1"/>
        <v>בטווח 15–20</v>
      </c>
      <c r="G24" s="2" t="s">
        <v>169</v>
      </c>
      <c r="H24" s="2" t="s">
        <v>170</v>
      </c>
      <c r="I24" s="2" t="s">
        <v>171</v>
      </c>
      <c r="J24" s="2" t="s">
        <v>38</v>
      </c>
      <c r="K24" s="2"/>
      <c r="L24" s="2" t="s">
        <v>29</v>
      </c>
      <c r="M24" s="2"/>
      <c r="N24" s="2" t="s">
        <v>30</v>
      </c>
      <c r="O24" s="2" t="s">
        <v>31</v>
      </c>
      <c r="P24" s="2"/>
      <c r="Q24" s="2"/>
      <c r="R24" s="2" t="s">
        <v>172</v>
      </c>
      <c r="S24" s="2" t="s">
        <v>173</v>
      </c>
      <c r="T24" s="6"/>
      <c r="U24" s="6"/>
      <c r="V24" s="6"/>
      <c r="W24" s="6" t="s">
        <v>33</v>
      </c>
    </row>
    <row r="25" spans="1:23" ht="240" x14ac:dyDescent="0.2">
      <c r="A25" s="2" t="s">
        <v>174</v>
      </c>
      <c r="B25" s="3" t="s">
        <v>51</v>
      </c>
      <c r="C25" s="4">
        <v>5.324074074074074E-3</v>
      </c>
      <c r="D25" s="4">
        <v>5.5555555555555558E-3</v>
      </c>
      <c r="E25" s="5">
        <f t="shared" si="0"/>
        <v>20</v>
      </c>
      <c r="F25" s="2" t="str">
        <f t="shared" si="1"/>
        <v>בטווח 15–20</v>
      </c>
      <c r="G25" s="2" t="s">
        <v>175</v>
      </c>
      <c r="H25" s="2" t="s">
        <v>176</v>
      </c>
      <c r="I25" s="2" t="s">
        <v>177</v>
      </c>
      <c r="J25" s="2" t="s">
        <v>86</v>
      </c>
      <c r="K25" s="2"/>
      <c r="L25" s="2" t="s">
        <v>29</v>
      </c>
      <c r="M25" s="2"/>
      <c r="N25" s="2" t="s">
        <v>30</v>
      </c>
      <c r="O25" s="2" t="s">
        <v>31</v>
      </c>
      <c r="P25" s="2"/>
      <c r="Q25" s="2"/>
      <c r="R25" s="2"/>
      <c r="S25" s="2" t="s">
        <v>178</v>
      </c>
      <c r="T25" s="6"/>
      <c r="U25" s="6"/>
      <c r="V25" s="6"/>
      <c r="W25" s="6" t="s">
        <v>33</v>
      </c>
    </row>
    <row r="26" spans="1:23" ht="255" x14ac:dyDescent="0.2">
      <c r="A26" s="2" t="s">
        <v>179</v>
      </c>
      <c r="B26" s="3" t="s">
        <v>51</v>
      </c>
      <c r="C26" s="4">
        <v>5.5555555555555558E-3</v>
      </c>
      <c r="D26" s="4">
        <v>5.7870370370370367E-3</v>
      </c>
      <c r="E26" s="5">
        <f t="shared" si="0"/>
        <v>20</v>
      </c>
      <c r="F26" s="2" t="str">
        <f t="shared" si="1"/>
        <v>בטווח 15–20</v>
      </c>
      <c r="G26" s="2" t="s">
        <v>180</v>
      </c>
      <c r="H26" s="2" t="s">
        <v>181</v>
      </c>
      <c r="I26" s="2" t="s">
        <v>182</v>
      </c>
      <c r="J26" s="2" t="s">
        <v>28</v>
      </c>
      <c r="K26" s="2"/>
      <c r="L26" s="2" t="s">
        <v>29</v>
      </c>
      <c r="M26" s="2"/>
      <c r="N26" s="2" t="s">
        <v>30</v>
      </c>
      <c r="O26" s="2" t="s">
        <v>31</v>
      </c>
      <c r="P26" s="2"/>
      <c r="Q26" s="2"/>
      <c r="R26" s="2"/>
      <c r="S26" s="2" t="s">
        <v>183</v>
      </c>
      <c r="T26" s="6"/>
      <c r="U26" s="6"/>
      <c r="V26" s="6"/>
      <c r="W26" s="6" t="s">
        <v>33</v>
      </c>
    </row>
    <row r="27" spans="1:23" ht="398" x14ac:dyDescent="0.2">
      <c r="A27" s="2" t="s">
        <v>184</v>
      </c>
      <c r="B27" s="3" t="s">
        <v>51</v>
      </c>
      <c r="C27" s="4">
        <v>5.7870370370370367E-3</v>
      </c>
      <c r="D27" s="4">
        <v>6.0185185185185185E-3</v>
      </c>
      <c r="E27" s="5">
        <f t="shared" si="0"/>
        <v>20</v>
      </c>
      <c r="F27" s="2" t="str">
        <f t="shared" si="1"/>
        <v>בטווח 15–20</v>
      </c>
      <c r="G27" s="2" t="s">
        <v>185</v>
      </c>
      <c r="H27" s="2" t="s">
        <v>186</v>
      </c>
      <c r="I27" s="2" t="s">
        <v>187</v>
      </c>
      <c r="J27" s="2" t="s">
        <v>28</v>
      </c>
      <c r="K27" s="2"/>
      <c r="L27" s="2" t="s">
        <v>29</v>
      </c>
      <c r="M27" s="2"/>
      <c r="N27" s="2" t="s">
        <v>30</v>
      </c>
      <c r="O27" s="2" t="s">
        <v>31</v>
      </c>
      <c r="P27" s="2"/>
      <c r="Q27" s="2"/>
      <c r="R27" s="2"/>
      <c r="S27" s="2" t="s">
        <v>188</v>
      </c>
      <c r="T27" s="6"/>
      <c r="U27" s="6"/>
      <c r="V27" s="6"/>
      <c r="W27" s="6" t="s">
        <v>33</v>
      </c>
    </row>
    <row r="28" spans="1:23" ht="300" x14ac:dyDescent="0.2">
      <c r="A28" s="2" t="s">
        <v>189</v>
      </c>
      <c r="B28" s="3" t="s">
        <v>51</v>
      </c>
      <c r="C28" s="4">
        <v>6.0185185185185185E-3</v>
      </c>
      <c r="D28" s="4">
        <v>6.2500000000000003E-3</v>
      </c>
      <c r="E28" s="5">
        <f t="shared" si="0"/>
        <v>20</v>
      </c>
      <c r="F28" s="2" t="str">
        <f t="shared" si="1"/>
        <v>בטווח 15–20</v>
      </c>
      <c r="G28" s="2" t="s">
        <v>190</v>
      </c>
      <c r="H28" s="2" t="s">
        <v>191</v>
      </c>
      <c r="I28" s="2" t="s">
        <v>192</v>
      </c>
      <c r="J28" s="2" t="s">
        <v>28</v>
      </c>
      <c r="K28" s="2"/>
      <c r="L28" s="2" t="s">
        <v>29</v>
      </c>
      <c r="M28" s="2"/>
      <c r="N28" s="2" t="s">
        <v>30</v>
      </c>
      <c r="O28" s="2" t="s">
        <v>31</v>
      </c>
      <c r="P28" s="2"/>
      <c r="Q28" s="2"/>
      <c r="R28" s="2"/>
      <c r="S28" s="2" t="s">
        <v>193</v>
      </c>
      <c r="T28" s="6"/>
      <c r="U28" s="6"/>
      <c r="V28" s="6"/>
      <c r="W28" s="6" t="s">
        <v>33</v>
      </c>
    </row>
    <row r="29" spans="1:23" ht="195" x14ac:dyDescent="0.2">
      <c r="A29" s="2" t="s">
        <v>194</v>
      </c>
      <c r="B29" s="3" t="s">
        <v>51</v>
      </c>
      <c r="C29" s="4">
        <v>6.2500000000000003E-3</v>
      </c>
      <c r="D29" s="4">
        <v>6.4814814814814813E-3</v>
      </c>
      <c r="E29" s="5">
        <f t="shared" si="0"/>
        <v>20</v>
      </c>
      <c r="F29" s="2" t="str">
        <f t="shared" si="1"/>
        <v>בטווח 15–20</v>
      </c>
      <c r="G29" s="2" t="s">
        <v>195</v>
      </c>
      <c r="H29" s="2" t="s">
        <v>196</v>
      </c>
      <c r="I29" s="2" t="s">
        <v>197</v>
      </c>
      <c r="J29" s="2" t="s">
        <v>86</v>
      </c>
      <c r="K29" s="2"/>
      <c r="L29" s="2" t="s">
        <v>29</v>
      </c>
      <c r="M29" s="2"/>
      <c r="N29" s="2" t="s">
        <v>30</v>
      </c>
      <c r="O29" s="2" t="s">
        <v>31</v>
      </c>
      <c r="P29" s="2"/>
      <c r="Q29" s="2"/>
      <c r="R29" s="2"/>
      <c r="S29" s="2" t="s">
        <v>198</v>
      </c>
      <c r="T29" s="6"/>
      <c r="U29" s="6"/>
      <c r="V29" s="6"/>
      <c r="W29" s="6" t="s">
        <v>33</v>
      </c>
    </row>
    <row r="30" spans="1:23" ht="409.6" x14ac:dyDescent="0.2">
      <c r="A30" s="2" t="s">
        <v>199</v>
      </c>
      <c r="B30" s="3" t="s">
        <v>51</v>
      </c>
      <c r="C30" s="4">
        <v>6.4814814814814813E-3</v>
      </c>
      <c r="D30" s="4">
        <v>6.7129629629629631E-3</v>
      </c>
      <c r="E30" s="5">
        <f t="shared" si="0"/>
        <v>20</v>
      </c>
      <c r="F30" s="2" t="str">
        <f t="shared" si="1"/>
        <v>בטווח 15–20</v>
      </c>
      <c r="G30" s="2" t="s">
        <v>200</v>
      </c>
      <c r="H30" s="2" t="s">
        <v>201</v>
      </c>
      <c r="I30" s="2" t="s">
        <v>202</v>
      </c>
      <c r="J30" s="2" t="s">
        <v>28</v>
      </c>
      <c r="K30" s="2"/>
      <c r="L30" s="2" t="s">
        <v>29</v>
      </c>
      <c r="M30" s="2"/>
      <c r="N30" s="2" t="s">
        <v>30</v>
      </c>
      <c r="O30" s="2" t="s">
        <v>31</v>
      </c>
      <c r="P30" s="2"/>
      <c r="Q30" s="2"/>
      <c r="R30" s="2"/>
      <c r="S30" s="2" t="s">
        <v>203</v>
      </c>
      <c r="T30" s="6"/>
      <c r="U30" s="6"/>
      <c r="V30" s="6"/>
      <c r="W30" s="6" t="s">
        <v>33</v>
      </c>
    </row>
    <row r="31" spans="1:23" ht="314" x14ac:dyDescent="0.2">
      <c r="A31" s="2" t="s">
        <v>204</v>
      </c>
      <c r="B31" s="3" t="s">
        <v>51</v>
      </c>
      <c r="C31" s="4">
        <v>6.7129629629629631E-3</v>
      </c>
      <c r="D31" s="4">
        <v>6.9444444444444441E-3</v>
      </c>
      <c r="E31" s="5">
        <f t="shared" si="0"/>
        <v>20</v>
      </c>
      <c r="F31" s="2" t="str">
        <f t="shared" si="1"/>
        <v>בטווח 15–20</v>
      </c>
      <c r="G31" s="2" t="s">
        <v>205</v>
      </c>
      <c r="H31" s="2" t="s">
        <v>206</v>
      </c>
      <c r="I31" s="2" t="s">
        <v>207</v>
      </c>
      <c r="J31" s="2" t="s">
        <v>28</v>
      </c>
      <c r="K31" s="2"/>
      <c r="L31" s="2" t="s">
        <v>29</v>
      </c>
      <c r="M31" s="2"/>
      <c r="N31" s="2" t="s">
        <v>30</v>
      </c>
      <c r="O31" s="2" t="s">
        <v>31</v>
      </c>
      <c r="P31" s="2"/>
      <c r="Q31" s="2"/>
      <c r="R31" s="2"/>
      <c r="S31" s="2" t="s">
        <v>208</v>
      </c>
      <c r="T31" s="6"/>
      <c r="U31" s="6"/>
      <c r="V31" s="6"/>
      <c r="W31" s="6" t="s">
        <v>33</v>
      </c>
    </row>
    <row r="32" spans="1:23" ht="314" x14ac:dyDescent="0.2">
      <c r="A32" s="2" t="s">
        <v>209</v>
      </c>
      <c r="B32" s="3" t="s">
        <v>51</v>
      </c>
      <c r="C32" s="4">
        <v>6.9444444444444441E-3</v>
      </c>
      <c r="D32" s="4">
        <v>7.1759259259259259E-3</v>
      </c>
      <c r="E32" s="5">
        <f t="shared" si="0"/>
        <v>20</v>
      </c>
      <c r="F32" s="2" t="str">
        <f t="shared" si="1"/>
        <v>בטווח 15–20</v>
      </c>
      <c r="G32" s="2" t="s">
        <v>210</v>
      </c>
      <c r="H32" s="2" t="s">
        <v>211</v>
      </c>
      <c r="I32" s="2" t="s">
        <v>212</v>
      </c>
      <c r="J32" s="2" t="s">
        <v>28</v>
      </c>
      <c r="K32" s="2"/>
      <c r="L32" s="2" t="s">
        <v>29</v>
      </c>
      <c r="M32" s="2"/>
      <c r="N32" s="2" t="s">
        <v>30</v>
      </c>
      <c r="O32" s="2" t="s">
        <v>31</v>
      </c>
      <c r="P32" s="2"/>
      <c r="Q32" s="2"/>
      <c r="R32" s="2"/>
      <c r="S32" s="2" t="s">
        <v>213</v>
      </c>
      <c r="T32" s="6"/>
      <c r="U32" s="6"/>
      <c r="V32" s="6"/>
      <c r="W32" s="6" t="s">
        <v>33</v>
      </c>
    </row>
    <row r="33" spans="1:23" ht="342" x14ac:dyDescent="0.2">
      <c r="A33" s="2" t="s">
        <v>214</v>
      </c>
      <c r="B33" s="3" t="s">
        <v>51</v>
      </c>
      <c r="C33" s="4">
        <v>7.1759259259259259E-3</v>
      </c>
      <c r="D33" s="4">
        <v>7.4074074074074077E-3</v>
      </c>
      <c r="E33" s="5">
        <f t="shared" si="0"/>
        <v>20</v>
      </c>
      <c r="F33" s="2" t="str">
        <f t="shared" si="1"/>
        <v>בטווח 15–20</v>
      </c>
      <c r="G33" s="2" t="s">
        <v>215</v>
      </c>
      <c r="H33" s="2" t="s">
        <v>216</v>
      </c>
      <c r="I33" s="2" t="s">
        <v>217</v>
      </c>
      <c r="J33" s="2" t="s">
        <v>38</v>
      </c>
      <c r="K33" s="2"/>
      <c r="L33" s="2" t="s">
        <v>29</v>
      </c>
      <c r="M33" s="2"/>
      <c r="N33" s="2" t="s">
        <v>30</v>
      </c>
      <c r="O33" s="2" t="s">
        <v>31</v>
      </c>
      <c r="P33" s="2"/>
      <c r="Q33" s="2"/>
      <c r="R33" s="2"/>
      <c r="S33" s="2" t="s">
        <v>218</v>
      </c>
      <c r="T33" s="6"/>
      <c r="U33" s="6"/>
      <c r="V33" s="6"/>
      <c r="W33" s="6" t="s">
        <v>33</v>
      </c>
    </row>
    <row r="34" spans="1:23" ht="270" x14ac:dyDescent="0.2">
      <c r="A34" s="2" t="s">
        <v>219</v>
      </c>
      <c r="B34" s="3" t="s">
        <v>51</v>
      </c>
      <c r="C34" s="4">
        <v>7.4074074074074077E-3</v>
      </c>
      <c r="D34" s="4">
        <v>7.6388888888888886E-3</v>
      </c>
      <c r="E34" s="5">
        <f t="shared" si="0"/>
        <v>20</v>
      </c>
      <c r="F34" s="2" t="str">
        <f t="shared" si="1"/>
        <v>בטווח 15–20</v>
      </c>
      <c r="G34" s="2" t="s">
        <v>220</v>
      </c>
      <c r="H34" s="2" t="s">
        <v>221</v>
      </c>
      <c r="I34" s="2" t="s">
        <v>222</v>
      </c>
      <c r="J34" s="2" t="s">
        <v>28</v>
      </c>
      <c r="K34" s="2"/>
      <c r="L34" s="2" t="s">
        <v>29</v>
      </c>
      <c r="M34" s="2"/>
      <c r="N34" s="2" t="s">
        <v>30</v>
      </c>
      <c r="O34" s="2" t="s">
        <v>31</v>
      </c>
      <c r="P34" s="2"/>
      <c r="Q34" s="2"/>
      <c r="R34" s="2"/>
      <c r="S34" s="2" t="s">
        <v>223</v>
      </c>
      <c r="T34" s="6"/>
      <c r="U34" s="6"/>
      <c r="V34" s="6"/>
      <c r="W34" s="6" t="s">
        <v>33</v>
      </c>
    </row>
    <row r="35" spans="1:23" ht="285" x14ac:dyDescent="0.2">
      <c r="A35" s="2" t="s">
        <v>224</v>
      </c>
      <c r="B35" s="3" t="s">
        <v>24</v>
      </c>
      <c r="C35" s="4">
        <v>7.6388888888888886E-3</v>
      </c>
      <c r="D35" s="4">
        <v>7.8703703703703696E-3</v>
      </c>
      <c r="E35" s="5">
        <f t="shared" si="0"/>
        <v>20</v>
      </c>
      <c r="F35" s="2" t="str">
        <f t="shared" si="1"/>
        <v>בטווח 15–20</v>
      </c>
      <c r="G35" s="2" t="s">
        <v>225</v>
      </c>
      <c r="H35" s="2" t="s">
        <v>226</v>
      </c>
      <c r="I35" s="2" t="s">
        <v>227</v>
      </c>
      <c r="J35" s="2" t="s">
        <v>86</v>
      </c>
      <c r="K35" s="2"/>
      <c r="L35" s="2" t="s">
        <v>29</v>
      </c>
      <c r="M35" s="2"/>
      <c r="N35" s="2" t="s">
        <v>30</v>
      </c>
      <c r="O35" s="2" t="s">
        <v>31</v>
      </c>
      <c r="P35" s="2"/>
      <c r="Q35" s="2"/>
      <c r="R35" s="2"/>
      <c r="S35" s="2" t="s">
        <v>228</v>
      </c>
      <c r="T35" s="6"/>
      <c r="U35" s="6"/>
      <c r="V35" s="6"/>
      <c r="W35" s="6" t="s">
        <v>33</v>
      </c>
    </row>
    <row r="36" spans="1:23" ht="314" x14ac:dyDescent="0.2">
      <c r="A36" s="2" t="s">
        <v>229</v>
      </c>
      <c r="B36" s="3" t="s">
        <v>51</v>
      </c>
      <c r="C36" s="4">
        <v>7.8703703703703696E-3</v>
      </c>
      <c r="D36" s="4">
        <v>8.1018518518518514E-3</v>
      </c>
      <c r="E36" s="5">
        <f t="shared" si="0"/>
        <v>20</v>
      </c>
      <c r="F36" s="2" t="str">
        <f t="shared" si="1"/>
        <v>בטווח 15–20</v>
      </c>
      <c r="G36" s="2" t="s">
        <v>230</v>
      </c>
      <c r="H36" s="2" t="s">
        <v>231</v>
      </c>
      <c r="I36" s="2" t="s">
        <v>232</v>
      </c>
      <c r="J36" s="2" t="s">
        <v>28</v>
      </c>
      <c r="K36" s="2" t="s">
        <v>233</v>
      </c>
      <c r="L36" s="2" t="s">
        <v>29</v>
      </c>
      <c r="M36" s="2"/>
      <c r="N36" s="2" t="s">
        <v>30</v>
      </c>
      <c r="O36" s="2" t="s">
        <v>31</v>
      </c>
      <c r="P36" s="2"/>
      <c r="Q36" s="2"/>
      <c r="R36" s="2"/>
      <c r="S36" s="2" t="s">
        <v>234</v>
      </c>
      <c r="T36" s="6"/>
      <c r="U36" s="6"/>
      <c r="V36" s="6"/>
      <c r="W36" s="6" t="s">
        <v>33</v>
      </c>
    </row>
    <row r="37" spans="1:23" ht="285" x14ac:dyDescent="0.2">
      <c r="A37" s="2" t="s">
        <v>235</v>
      </c>
      <c r="B37" s="3" t="s">
        <v>51</v>
      </c>
      <c r="C37" s="4">
        <v>8.1018518518518514E-3</v>
      </c>
      <c r="D37" s="4">
        <v>8.3333333333333332E-3</v>
      </c>
      <c r="E37" s="5">
        <f t="shared" si="0"/>
        <v>20</v>
      </c>
      <c r="F37" s="2" t="str">
        <f t="shared" si="1"/>
        <v>בטווח 15–20</v>
      </c>
      <c r="G37" s="2" t="s">
        <v>236</v>
      </c>
      <c r="H37" s="2" t="s">
        <v>237</v>
      </c>
      <c r="I37" s="2" t="s">
        <v>238</v>
      </c>
      <c r="J37" s="2" t="s">
        <v>28</v>
      </c>
      <c r="K37" s="2"/>
      <c r="L37" s="2" t="s">
        <v>29</v>
      </c>
      <c r="M37" s="2"/>
      <c r="N37" s="2" t="s">
        <v>30</v>
      </c>
      <c r="O37" s="2" t="s">
        <v>31</v>
      </c>
      <c r="P37" s="2"/>
      <c r="Q37" s="2"/>
      <c r="R37" s="2"/>
      <c r="S37" s="2" t="s">
        <v>239</v>
      </c>
      <c r="T37" s="6"/>
      <c r="U37" s="6"/>
      <c r="V37" s="6"/>
      <c r="W37" s="6" t="s">
        <v>33</v>
      </c>
    </row>
    <row r="38" spans="1:23" ht="300" x14ac:dyDescent="0.2">
      <c r="A38" s="2" t="s">
        <v>240</v>
      </c>
      <c r="B38" s="3" t="s">
        <v>51</v>
      </c>
      <c r="C38" s="4">
        <v>8.3333333333333332E-3</v>
      </c>
      <c r="D38" s="4">
        <v>8.564814814814815E-3</v>
      </c>
      <c r="E38" s="5">
        <f t="shared" si="0"/>
        <v>20</v>
      </c>
      <c r="F38" s="2" t="str">
        <f t="shared" si="1"/>
        <v>בטווח 15–20</v>
      </c>
      <c r="G38" s="2" t="s">
        <v>241</v>
      </c>
      <c r="H38" s="2" t="s">
        <v>242</v>
      </c>
      <c r="I38" s="2" t="s">
        <v>243</v>
      </c>
      <c r="J38" s="2" t="s">
        <v>86</v>
      </c>
      <c r="K38" s="2"/>
      <c r="L38" s="2" t="s">
        <v>29</v>
      </c>
      <c r="M38" s="2"/>
      <c r="N38" s="2" t="s">
        <v>30</v>
      </c>
      <c r="O38" s="2" t="s">
        <v>31</v>
      </c>
      <c r="P38" s="2"/>
      <c r="Q38" s="2"/>
      <c r="R38" s="2"/>
      <c r="S38" s="2" t="s">
        <v>244</v>
      </c>
      <c r="T38" s="6"/>
      <c r="U38" s="6"/>
      <c r="V38" s="6"/>
      <c r="W38" s="6" t="s">
        <v>33</v>
      </c>
    </row>
    <row r="39" spans="1:23" ht="398" x14ac:dyDescent="0.2">
      <c r="A39" s="2" t="s">
        <v>245</v>
      </c>
      <c r="B39" s="3" t="s">
        <v>51</v>
      </c>
      <c r="C39" s="4">
        <v>8.564814814814815E-3</v>
      </c>
      <c r="D39" s="4">
        <v>8.7962962962962968E-3</v>
      </c>
      <c r="E39" s="5">
        <f t="shared" si="0"/>
        <v>20</v>
      </c>
      <c r="F39" s="2" t="str">
        <f t="shared" si="1"/>
        <v>בטווח 15–20</v>
      </c>
      <c r="G39" s="2" t="s">
        <v>246</v>
      </c>
      <c r="H39" s="2" t="s">
        <v>247</v>
      </c>
      <c r="I39" s="2" t="s">
        <v>248</v>
      </c>
      <c r="J39" s="2" t="s">
        <v>28</v>
      </c>
      <c r="K39" s="2"/>
      <c r="L39" s="2" t="s">
        <v>29</v>
      </c>
      <c r="M39" s="2"/>
      <c r="N39" s="2" t="s">
        <v>30</v>
      </c>
      <c r="O39" s="2" t="s">
        <v>31</v>
      </c>
      <c r="P39" s="2"/>
      <c r="Q39" s="2"/>
      <c r="R39" s="2"/>
      <c r="S39" s="2" t="s">
        <v>249</v>
      </c>
      <c r="T39" s="6"/>
      <c r="U39" s="6"/>
      <c r="V39" s="6"/>
      <c r="W39" s="6" t="s">
        <v>33</v>
      </c>
    </row>
    <row r="40" spans="1:23" ht="300" x14ac:dyDescent="0.2">
      <c r="A40" s="2" t="s">
        <v>250</v>
      </c>
      <c r="B40" s="3" t="s">
        <v>51</v>
      </c>
      <c r="C40" s="4">
        <v>8.7962962962962968E-3</v>
      </c>
      <c r="D40" s="4">
        <v>9.0277777777777769E-3</v>
      </c>
      <c r="E40" s="5">
        <f t="shared" si="0"/>
        <v>20</v>
      </c>
      <c r="F40" s="2" t="str">
        <f t="shared" si="1"/>
        <v>בטווח 15–20</v>
      </c>
      <c r="G40" s="2" t="s">
        <v>251</v>
      </c>
      <c r="H40" s="2" t="s">
        <v>252</v>
      </c>
      <c r="I40" s="2" t="s">
        <v>253</v>
      </c>
      <c r="J40" s="2" t="s">
        <v>38</v>
      </c>
      <c r="K40" s="2"/>
      <c r="L40" s="2" t="s">
        <v>29</v>
      </c>
      <c r="M40" s="2"/>
      <c r="N40" s="2" t="s">
        <v>30</v>
      </c>
      <c r="O40" s="2" t="s">
        <v>31</v>
      </c>
      <c r="P40" s="2"/>
      <c r="Q40" s="2"/>
      <c r="R40" s="2"/>
      <c r="S40" s="2" t="s">
        <v>254</v>
      </c>
      <c r="T40" s="6"/>
      <c r="U40" s="6"/>
      <c r="V40" s="6"/>
      <c r="W40" s="6" t="s">
        <v>33</v>
      </c>
    </row>
    <row r="41" spans="1:23" ht="328" x14ac:dyDescent="0.2">
      <c r="A41" s="2" t="s">
        <v>255</v>
      </c>
      <c r="B41" s="3" t="s">
        <v>51</v>
      </c>
      <c r="C41" s="4">
        <v>9.0277777777777769E-3</v>
      </c>
      <c r="D41" s="4">
        <v>9.2592592592592587E-3</v>
      </c>
      <c r="E41" s="5">
        <f t="shared" si="0"/>
        <v>20</v>
      </c>
      <c r="F41" s="2" t="str">
        <f t="shared" si="1"/>
        <v>בטווח 15–20</v>
      </c>
      <c r="G41" s="2" t="s">
        <v>256</v>
      </c>
      <c r="H41" s="2" t="s">
        <v>257</v>
      </c>
      <c r="I41" s="2" t="s">
        <v>258</v>
      </c>
      <c r="J41" s="2" t="s">
        <v>38</v>
      </c>
      <c r="K41" s="2"/>
      <c r="L41" s="2" t="s">
        <v>29</v>
      </c>
      <c r="M41" s="2"/>
      <c r="N41" s="2" t="s">
        <v>30</v>
      </c>
      <c r="O41" s="2" t="s">
        <v>31</v>
      </c>
      <c r="P41" s="2"/>
      <c r="Q41" s="2" t="s">
        <v>259</v>
      </c>
      <c r="R41" s="2"/>
      <c r="S41" s="2" t="s">
        <v>260</v>
      </c>
      <c r="T41" s="6"/>
      <c r="U41" s="6"/>
      <c r="V41" s="6"/>
      <c r="W41" s="6" t="s">
        <v>33</v>
      </c>
    </row>
    <row r="42" spans="1:23" ht="328" x14ac:dyDescent="0.2">
      <c r="A42" s="2" t="s">
        <v>261</v>
      </c>
      <c r="B42" s="3" t="s">
        <v>51</v>
      </c>
      <c r="C42" s="4">
        <v>9.2592592592592587E-3</v>
      </c>
      <c r="D42" s="4">
        <v>9.4907407407407406E-3</v>
      </c>
      <c r="E42" s="5">
        <f t="shared" si="0"/>
        <v>20</v>
      </c>
      <c r="F42" s="2" t="str">
        <f t="shared" si="1"/>
        <v>בטווח 15–20</v>
      </c>
      <c r="G42" s="2" t="s">
        <v>262</v>
      </c>
      <c r="H42" s="2" t="s">
        <v>263</v>
      </c>
      <c r="I42" s="2" t="s">
        <v>264</v>
      </c>
      <c r="J42" s="2" t="s">
        <v>38</v>
      </c>
      <c r="K42" s="2"/>
      <c r="L42" s="2" t="s">
        <v>29</v>
      </c>
      <c r="M42" s="2"/>
      <c r="N42" s="2" t="s">
        <v>30</v>
      </c>
      <c r="O42" s="2" t="s">
        <v>31</v>
      </c>
      <c r="P42" s="2"/>
      <c r="Q42" s="2"/>
      <c r="R42" s="2"/>
      <c r="S42" s="2" t="s">
        <v>265</v>
      </c>
      <c r="T42" s="6"/>
      <c r="U42" s="6"/>
      <c r="V42" s="6"/>
      <c r="W42" s="6" t="s">
        <v>33</v>
      </c>
    </row>
    <row r="43" spans="1:23" ht="409.6" x14ac:dyDescent="0.2">
      <c r="A43" s="2" t="s">
        <v>266</v>
      </c>
      <c r="B43" s="3" t="s">
        <v>51</v>
      </c>
      <c r="C43" s="4">
        <v>9.4907407407407406E-3</v>
      </c>
      <c r="D43" s="4">
        <v>9.7222222222222224E-3</v>
      </c>
      <c r="E43" s="5">
        <f t="shared" si="0"/>
        <v>20</v>
      </c>
      <c r="F43" s="2" t="str">
        <f t="shared" si="1"/>
        <v>בטווח 15–20</v>
      </c>
      <c r="G43" s="2" t="s">
        <v>267</v>
      </c>
      <c r="H43" s="2" t="s">
        <v>268</v>
      </c>
      <c r="I43" s="2" t="s">
        <v>269</v>
      </c>
      <c r="J43" s="2" t="s">
        <v>28</v>
      </c>
      <c r="K43" s="2"/>
      <c r="L43" s="2" t="s">
        <v>29</v>
      </c>
      <c r="M43" s="2"/>
      <c r="N43" s="2" t="s">
        <v>30</v>
      </c>
      <c r="O43" s="2" t="s">
        <v>31</v>
      </c>
      <c r="P43" s="2"/>
      <c r="Q43" s="2"/>
      <c r="R43" s="2"/>
      <c r="S43" s="2" t="s">
        <v>270</v>
      </c>
      <c r="T43" s="6"/>
      <c r="U43" s="6"/>
      <c r="V43" s="6"/>
      <c r="W43" s="6" t="s">
        <v>33</v>
      </c>
    </row>
    <row r="44" spans="1:23" ht="285" x14ac:dyDescent="0.2">
      <c r="A44" s="2" t="s">
        <v>271</v>
      </c>
      <c r="B44" s="3" t="s">
        <v>51</v>
      </c>
      <c r="C44" s="4">
        <v>9.7222222222222224E-3</v>
      </c>
      <c r="D44" s="4">
        <v>9.9537037037037042E-3</v>
      </c>
      <c r="E44" s="5">
        <f t="shared" si="0"/>
        <v>20</v>
      </c>
      <c r="F44" s="2" t="str">
        <f t="shared" si="1"/>
        <v>בטווח 15–20</v>
      </c>
      <c r="G44" s="2" t="s">
        <v>272</v>
      </c>
      <c r="H44" s="2" t="s">
        <v>273</v>
      </c>
      <c r="I44" s="2" t="s">
        <v>274</v>
      </c>
      <c r="J44" s="2" t="s">
        <v>28</v>
      </c>
      <c r="K44" s="2"/>
      <c r="L44" s="2" t="s">
        <v>29</v>
      </c>
      <c r="M44" s="2"/>
      <c r="N44" s="2" t="s">
        <v>30</v>
      </c>
      <c r="O44" s="2" t="s">
        <v>31</v>
      </c>
      <c r="P44" s="2"/>
      <c r="Q44" s="2"/>
      <c r="R44" s="2"/>
      <c r="S44" s="2" t="s">
        <v>275</v>
      </c>
      <c r="T44" s="6"/>
      <c r="U44" s="6"/>
      <c r="V44" s="6"/>
      <c r="W44" s="6" t="s">
        <v>33</v>
      </c>
    </row>
    <row r="45" spans="1:23" ht="255" x14ac:dyDescent="0.2">
      <c r="A45" s="2" t="s">
        <v>276</v>
      </c>
      <c r="B45" s="3" t="s">
        <v>51</v>
      </c>
      <c r="C45" s="4">
        <v>9.9537037037037042E-3</v>
      </c>
      <c r="D45" s="4">
        <v>1.0185185185185186E-2</v>
      </c>
      <c r="E45" s="5">
        <f t="shared" si="0"/>
        <v>20</v>
      </c>
      <c r="F45" s="2" t="str">
        <f t="shared" si="1"/>
        <v>בטווח 15–20</v>
      </c>
      <c r="G45" s="2" t="s">
        <v>277</v>
      </c>
      <c r="H45" s="2" t="s">
        <v>278</v>
      </c>
      <c r="I45" s="2" t="s">
        <v>279</v>
      </c>
      <c r="J45" s="2" t="s">
        <v>28</v>
      </c>
      <c r="K45" s="2" t="s">
        <v>280</v>
      </c>
      <c r="L45" s="2" t="s">
        <v>29</v>
      </c>
      <c r="M45" s="2"/>
      <c r="N45" s="2" t="s">
        <v>30</v>
      </c>
      <c r="O45" s="2" t="s">
        <v>281</v>
      </c>
      <c r="P45" s="2"/>
      <c r="Q45" s="2"/>
      <c r="R45" s="2"/>
      <c r="S45" s="2" t="s">
        <v>282</v>
      </c>
      <c r="T45" s="6"/>
      <c r="U45" s="6"/>
      <c r="V45" s="6"/>
      <c r="W45" s="6" t="s">
        <v>33</v>
      </c>
    </row>
    <row r="46" spans="1:23" ht="300" x14ac:dyDescent="0.2">
      <c r="A46" s="2" t="s">
        <v>283</v>
      </c>
      <c r="B46" s="3" t="s">
        <v>57</v>
      </c>
      <c r="C46" s="4">
        <v>1.0185185185185186E-2</v>
      </c>
      <c r="D46" s="4">
        <v>1.0416666666666666E-2</v>
      </c>
      <c r="E46" s="5">
        <f t="shared" si="0"/>
        <v>20</v>
      </c>
      <c r="F46" s="2" t="str">
        <f t="shared" si="1"/>
        <v>בטווח 15–20</v>
      </c>
      <c r="G46" s="2" t="s">
        <v>284</v>
      </c>
      <c r="H46" s="2" t="s">
        <v>285</v>
      </c>
      <c r="I46" s="2" t="s">
        <v>286</v>
      </c>
      <c r="J46" s="2" t="s">
        <v>28</v>
      </c>
      <c r="K46" s="2" t="s">
        <v>287</v>
      </c>
      <c r="L46" s="2" t="s">
        <v>288</v>
      </c>
      <c r="M46" s="2" t="s">
        <v>289</v>
      </c>
      <c r="N46" s="2" t="s">
        <v>64</v>
      </c>
      <c r="O46" s="2" t="s">
        <v>31</v>
      </c>
      <c r="P46" s="2" t="s">
        <v>290</v>
      </c>
      <c r="Q46" s="2"/>
      <c r="R46" s="2"/>
      <c r="S46" s="2" t="s">
        <v>291</v>
      </c>
      <c r="T46" s="6"/>
      <c r="U46" s="6"/>
      <c r="V46" s="6"/>
      <c r="W46" s="6" t="s">
        <v>33</v>
      </c>
    </row>
    <row r="47" spans="1:23" ht="285" x14ac:dyDescent="0.2">
      <c r="A47" s="2" t="s">
        <v>292</v>
      </c>
      <c r="B47" s="3" t="s">
        <v>51</v>
      </c>
      <c r="C47" s="4">
        <v>1.0416666666666666E-2</v>
      </c>
      <c r="D47" s="4">
        <v>1.0648148148148148E-2</v>
      </c>
      <c r="E47" s="5">
        <f t="shared" si="0"/>
        <v>20</v>
      </c>
      <c r="F47" s="2" t="str">
        <f t="shared" si="1"/>
        <v>בטווח 15–20</v>
      </c>
      <c r="G47" s="2" t="s">
        <v>293</v>
      </c>
      <c r="H47" s="2" t="s">
        <v>294</v>
      </c>
      <c r="I47" s="2" t="s">
        <v>295</v>
      </c>
      <c r="J47" s="2" t="s">
        <v>38</v>
      </c>
      <c r="K47" s="2"/>
      <c r="L47" s="2" t="s">
        <v>29</v>
      </c>
      <c r="M47" s="2"/>
      <c r="N47" s="2" t="s">
        <v>30</v>
      </c>
      <c r="O47" s="2" t="s">
        <v>31</v>
      </c>
      <c r="P47" s="2"/>
      <c r="Q47" s="2"/>
      <c r="R47" s="2"/>
      <c r="S47" s="2" t="s">
        <v>296</v>
      </c>
      <c r="T47" s="6"/>
      <c r="U47" s="6"/>
      <c r="V47" s="6"/>
      <c r="W47" s="6" t="s">
        <v>33</v>
      </c>
    </row>
    <row r="48" spans="1:23" ht="195" x14ac:dyDescent="0.2">
      <c r="A48" s="2" t="s">
        <v>297</v>
      </c>
      <c r="B48" s="3" t="s">
        <v>51</v>
      </c>
      <c r="C48" s="4">
        <v>1.0648148148148148E-2</v>
      </c>
      <c r="D48" s="4">
        <v>1.087962962962963E-2</v>
      </c>
      <c r="E48" s="5">
        <f t="shared" si="0"/>
        <v>20</v>
      </c>
      <c r="F48" s="2" t="str">
        <f t="shared" si="1"/>
        <v>בטווח 15–20</v>
      </c>
      <c r="G48" s="2" t="s">
        <v>298</v>
      </c>
      <c r="H48" s="2" t="s">
        <v>299</v>
      </c>
      <c r="I48" s="2" t="s">
        <v>300</v>
      </c>
      <c r="J48" s="2" t="s">
        <v>28</v>
      </c>
      <c r="K48" s="2"/>
      <c r="L48" s="2" t="s">
        <v>29</v>
      </c>
      <c r="M48" s="2"/>
      <c r="N48" s="2" t="s">
        <v>30</v>
      </c>
      <c r="O48" s="2" t="s">
        <v>31</v>
      </c>
      <c r="P48" s="2"/>
      <c r="Q48" s="2"/>
      <c r="R48" s="2"/>
      <c r="S48" s="2" t="s">
        <v>301</v>
      </c>
      <c r="T48" s="6"/>
      <c r="U48" s="6"/>
      <c r="V48" s="6"/>
      <c r="W48" s="6" t="s">
        <v>33</v>
      </c>
    </row>
    <row r="49" spans="1:23" ht="285" x14ac:dyDescent="0.2">
      <c r="A49" s="2" t="s">
        <v>302</v>
      </c>
      <c r="B49" s="3" t="s">
        <v>51</v>
      </c>
      <c r="C49" s="4">
        <v>1.087962962962963E-2</v>
      </c>
      <c r="D49" s="4">
        <v>1.1111111111111112E-2</v>
      </c>
      <c r="E49" s="5">
        <f t="shared" si="0"/>
        <v>20</v>
      </c>
      <c r="F49" s="2" t="str">
        <f t="shared" si="1"/>
        <v>בטווח 15–20</v>
      </c>
      <c r="G49" s="2" t="s">
        <v>303</v>
      </c>
      <c r="H49" s="2" t="s">
        <v>304</v>
      </c>
      <c r="I49" s="2" t="s">
        <v>305</v>
      </c>
      <c r="J49" s="2" t="s">
        <v>38</v>
      </c>
      <c r="K49" s="2"/>
      <c r="L49" s="2" t="s">
        <v>29</v>
      </c>
      <c r="M49" s="2"/>
      <c r="N49" s="2" t="s">
        <v>30</v>
      </c>
      <c r="O49" s="2" t="s">
        <v>281</v>
      </c>
      <c r="P49" s="2"/>
      <c r="Q49" s="2"/>
      <c r="R49" s="2"/>
      <c r="S49" s="2" t="s">
        <v>306</v>
      </c>
      <c r="T49" s="6"/>
      <c r="U49" s="6"/>
      <c r="V49" s="6"/>
      <c r="W49" s="6" t="s">
        <v>33</v>
      </c>
    </row>
    <row r="50" spans="1:23" ht="285" x14ac:dyDescent="0.2">
      <c r="A50" s="2" t="s">
        <v>307</v>
      </c>
      <c r="B50" s="3" t="s">
        <v>57</v>
      </c>
      <c r="C50" s="4">
        <v>1.1111111111111112E-2</v>
      </c>
      <c r="D50" s="4">
        <v>1.1342592592592593E-2</v>
      </c>
      <c r="E50" s="5">
        <f t="shared" si="0"/>
        <v>20</v>
      </c>
      <c r="F50" s="2" t="str">
        <f t="shared" si="1"/>
        <v>בטווח 15–20</v>
      </c>
      <c r="G50" s="2" t="s">
        <v>308</v>
      </c>
      <c r="H50" s="2" t="s">
        <v>309</v>
      </c>
      <c r="I50" s="2" t="s">
        <v>310</v>
      </c>
      <c r="J50" s="2" t="s">
        <v>38</v>
      </c>
      <c r="K50" s="2" t="s">
        <v>311</v>
      </c>
      <c r="L50" s="2" t="s">
        <v>312</v>
      </c>
      <c r="M50" s="2" t="s">
        <v>313</v>
      </c>
      <c r="N50" s="2" t="s">
        <v>314</v>
      </c>
      <c r="O50" s="2" t="s">
        <v>31</v>
      </c>
      <c r="P50" s="2" t="s">
        <v>315</v>
      </c>
      <c r="Q50" s="2"/>
      <c r="R50" s="2"/>
      <c r="S50" s="2" t="s">
        <v>316</v>
      </c>
      <c r="T50" s="6"/>
      <c r="U50" s="6"/>
      <c r="V50" s="6"/>
      <c r="W50" s="6" t="s">
        <v>33</v>
      </c>
    </row>
    <row r="51" spans="1:23" ht="300" x14ac:dyDescent="0.2">
      <c r="A51" s="2" t="s">
        <v>317</v>
      </c>
      <c r="B51" s="3" t="s">
        <v>51</v>
      </c>
      <c r="C51" s="4">
        <v>1.1342592592592593E-2</v>
      </c>
      <c r="D51" s="4">
        <v>1.1574074074074073E-2</v>
      </c>
      <c r="E51" s="5">
        <f t="shared" si="0"/>
        <v>20</v>
      </c>
      <c r="F51" s="2" t="str">
        <f t="shared" si="1"/>
        <v>בטווח 15–20</v>
      </c>
      <c r="G51" s="2" t="s">
        <v>318</v>
      </c>
      <c r="H51" s="2" t="s">
        <v>319</v>
      </c>
      <c r="I51" s="2" t="s">
        <v>320</v>
      </c>
      <c r="J51" s="2" t="s">
        <v>28</v>
      </c>
      <c r="K51" s="2" t="s">
        <v>321</v>
      </c>
      <c r="L51" s="2" t="s">
        <v>29</v>
      </c>
      <c r="M51" s="2"/>
      <c r="N51" s="2" t="s">
        <v>30</v>
      </c>
      <c r="O51" s="2" t="s">
        <v>31</v>
      </c>
      <c r="P51" s="2"/>
      <c r="Q51" s="2" t="s">
        <v>322</v>
      </c>
      <c r="R51" s="2"/>
      <c r="S51" s="2" t="s">
        <v>323</v>
      </c>
      <c r="T51" s="6"/>
      <c r="U51" s="6"/>
      <c r="V51" s="6"/>
      <c r="W51" s="6" t="s">
        <v>33</v>
      </c>
    </row>
    <row r="52" spans="1:23" ht="240" x14ac:dyDescent="0.2">
      <c r="A52" s="2" t="s">
        <v>324</v>
      </c>
      <c r="B52" s="3" t="s">
        <v>57</v>
      </c>
      <c r="C52" s="4">
        <v>1.1574074074074073E-2</v>
      </c>
      <c r="D52" s="4">
        <v>1.1805555555555555E-2</v>
      </c>
      <c r="E52" s="5">
        <f t="shared" si="0"/>
        <v>20</v>
      </c>
      <c r="F52" s="2" t="str">
        <f t="shared" si="1"/>
        <v>בטווח 15–20</v>
      </c>
      <c r="G52" s="2" t="s">
        <v>325</v>
      </c>
      <c r="H52" s="2" t="s">
        <v>326</v>
      </c>
      <c r="I52" s="2" t="s">
        <v>327</v>
      </c>
      <c r="J52" s="2" t="s">
        <v>38</v>
      </c>
      <c r="K52" s="2" t="s">
        <v>328</v>
      </c>
      <c r="L52" s="2" t="s">
        <v>329</v>
      </c>
      <c r="M52" s="2" t="s">
        <v>330</v>
      </c>
      <c r="N52" s="2" t="s">
        <v>64</v>
      </c>
      <c r="O52" s="2" t="s">
        <v>31</v>
      </c>
      <c r="P52" s="2" t="s">
        <v>331</v>
      </c>
      <c r="Q52" s="2" t="s">
        <v>332</v>
      </c>
      <c r="R52" s="2"/>
      <c r="S52" s="2" t="s">
        <v>333</v>
      </c>
      <c r="T52" s="6"/>
      <c r="U52" s="6"/>
      <c r="V52" s="6"/>
      <c r="W52" s="6" t="s">
        <v>33</v>
      </c>
    </row>
    <row r="53" spans="1:23" ht="300" x14ac:dyDescent="0.2">
      <c r="A53" s="2" t="s">
        <v>334</v>
      </c>
      <c r="B53" s="3" t="s">
        <v>51</v>
      </c>
      <c r="C53" s="4">
        <v>1.1805555555555555E-2</v>
      </c>
      <c r="D53" s="4">
        <v>1.2037037037037037E-2</v>
      </c>
      <c r="E53" s="5">
        <f t="shared" si="0"/>
        <v>20</v>
      </c>
      <c r="F53" s="2" t="str">
        <f t="shared" si="1"/>
        <v>בטווח 15–20</v>
      </c>
      <c r="G53" s="2" t="s">
        <v>335</v>
      </c>
      <c r="H53" s="2" t="s">
        <v>336</v>
      </c>
      <c r="I53" s="2" t="s">
        <v>337</v>
      </c>
      <c r="J53" s="2" t="s">
        <v>28</v>
      </c>
      <c r="K53" s="2"/>
      <c r="L53" s="2" t="s">
        <v>29</v>
      </c>
      <c r="M53" s="2"/>
      <c r="N53" s="2" t="s">
        <v>30</v>
      </c>
      <c r="O53" s="2" t="s">
        <v>31</v>
      </c>
      <c r="P53" s="2"/>
      <c r="Q53" s="2"/>
      <c r="R53" s="2"/>
      <c r="S53" s="2" t="s">
        <v>338</v>
      </c>
      <c r="T53" s="6"/>
      <c r="U53" s="6"/>
      <c r="V53" s="6"/>
      <c r="W53" s="6" t="s">
        <v>33</v>
      </c>
    </row>
    <row r="54" spans="1:23" ht="370" x14ac:dyDescent="0.2">
      <c r="A54" s="2" t="s">
        <v>339</v>
      </c>
      <c r="B54" s="3" t="s">
        <v>51</v>
      </c>
      <c r="C54" s="4">
        <v>1.2037037037037037E-2</v>
      </c>
      <c r="D54" s="4">
        <v>1.2268518518518519E-2</v>
      </c>
      <c r="E54" s="5">
        <f t="shared" si="0"/>
        <v>20</v>
      </c>
      <c r="F54" s="2" t="str">
        <f t="shared" si="1"/>
        <v>בטווח 15–20</v>
      </c>
      <c r="G54" s="2" t="s">
        <v>340</v>
      </c>
      <c r="H54" s="2" t="s">
        <v>341</v>
      </c>
      <c r="I54" s="2" t="s">
        <v>342</v>
      </c>
      <c r="J54" s="2" t="s">
        <v>38</v>
      </c>
      <c r="K54" s="2"/>
      <c r="L54" s="2" t="s">
        <v>29</v>
      </c>
      <c r="M54" s="2"/>
      <c r="N54" s="2" t="s">
        <v>30</v>
      </c>
      <c r="O54" s="2" t="s">
        <v>31</v>
      </c>
      <c r="P54" s="2"/>
      <c r="Q54" s="2"/>
      <c r="R54" s="2" t="s">
        <v>343</v>
      </c>
      <c r="S54" s="2" t="s">
        <v>344</v>
      </c>
      <c r="T54" s="6"/>
      <c r="U54" s="6"/>
      <c r="V54" s="6"/>
      <c r="W54" s="6" t="s">
        <v>33</v>
      </c>
    </row>
    <row r="55" spans="1:23" ht="342" x14ac:dyDescent="0.2">
      <c r="A55" s="2" t="s">
        <v>345</v>
      </c>
      <c r="B55" s="3" t="s">
        <v>51</v>
      </c>
      <c r="C55" s="4">
        <v>1.2268518518518519E-2</v>
      </c>
      <c r="D55" s="4">
        <v>1.2500000000000001E-2</v>
      </c>
      <c r="E55" s="5">
        <f t="shared" si="0"/>
        <v>20</v>
      </c>
      <c r="F55" s="2" t="str">
        <f t="shared" si="1"/>
        <v>בטווח 15–20</v>
      </c>
      <c r="G55" s="2" t="s">
        <v>346</v>
      </c>
      <c r="H55" s="2" t="s">
        <v>347</v>
      </c>
      <c r="I55" s="2" t="s">
        <v>348</v>
      </c>
      <c r="J55" s="2" t="s">
        <v>28</v>
      </c>
      <c r="K55" s="2"/>
      <c r="L55" s="2" t="s">
        <v>29</v>
      </c>
      <c r="M55" s="2"/>
      <c r="N55" s="2" t="s">
        <v>30</v>
      </c>
      <c r="O55" s="2" t="s">
        <v>31</v>
      </c>
      <c r="P55" s="2"/>
      <c r="Q55" s="2" t="s">
        <v>349</v>
      </c>
      <c r="R55" s="2" t="s">
        <v>343</v>
      </c>
      <c r="S55" s="2" t="s">
        <v>350</v>
      </c>
      <c r="T55" s="6"/>
      <c r="U55" s="6"/>
      <c r="V55" s="6"/>
      <c r="W55" s="6" t="s">
        <v>33</v>
      </c>
    </row>
    <row r="56" spans="1:23" ht="409.6" x14ac:dyDescent="0.2">
      <c r="A56" s="2" t="s">
        <v>351</v>
      </c>
      <c r="B56" s="3" t="s">
        <v>51</v>
      </c>
      <c r="C56" s="4">
        <v>1.2500000000000001E-2</v>
      </c>
      <c r="D56" s="4">
        <v>1.2731481481481481E-2</v>
      </c>
      <c r="E56" s="5">
        <f t="shared" si="0"/>
        <v>20</v>
      </c>
      <c r="F56" s="2" t="str">
        <f t="shared" si="1"/>
        <v>בטווח 15–20</v>
      </c>
      <c r="G56" s="2" t="s">
        <v>352</v>
      </c>
      <c r="H56" s="2" t="s">
        <v>353</v>
      </c>
      <c r="I56" s="2" t="s">
        <v>354</v>
      </c>
      <c r="J56" s="2" t="s">
        <v>28</v>
      </c>
      <c r="K56" s="2" t="s">
        <v>355</v>
      </c>
      <c r="L56" s="2" t="s">
        <v>29</v>
      </c>
      <c r="M56" s="2"/>
      <c r="N56" s="2" t="s">
        <v>30</v>
      </c>
      <c r="O56" s="2" t="s">
        <v>31</v>
      </c>
      <c r="P56" s="2"/>
      <c r="Q56" s="2"/>
      <c r="R56" s="2" t="s">
        <v>343</v>
      </c>
      <c r="S56" s="2" t="s">
        <v>356</v>
      </c>
      <c r="T56" s="6"/>
      <c r="U56" s="6"/>
      <c r="V56" s="6"/>
      <c r="W56" s="6" t="s">
        <v>33</v>
      </c>
    </row>
    <row r="57" spans="1:23" ht="195" x14ac:dyDescent="0.2">
      <c r="A57" s="2" t="s">
        <v>357</v>
      </c>
      <c r="B57" s="3" t="s">
        <v>24</v>
      </c>
      <c r="C57" s="4">
        <v>1.2731481481481481E-2</v>
      </c>
      <c r="D57" s="4">
        <v>1.2962962962962963E-2</v>
      </c>
      <c r="E57" s="5">
        <f t="shared" si="0"/>
        <v>20</v>
      </c>
      <c r="F57" s="2" t="str">
        <f t="shared" si="1"/>
        <v>בטווח 15–20</v>
      </c>
      <c r="G57" s="2" t="s">
        <v>358</v>
      </c>
      <c r="H57" s="2" t="s">
        <v>359</v>
      </c>
      <c r="I57" s="2" t="s">
        <v>360</v>
      </c>
      <c r="J57" s="2" t="s">
        <v>86</v>
      </c>
      <c r="K57" s="2" t="s">
        <v>361</v>
      </c>
      <c r="L57" s="2" t="s">
        <v>29</v>
      </c>
      <c r="M57" s="2"/>
      <c r="N57" s="2" t="s">
        <v>30</v>
      </c>
      <c r="O57" s="2" t="s">
        <v>31</v>
      </c>
      <c r="P57" s="2"/>
      <c r="Q57" s="2"/>
      <c r="R57" s="2"/>
      <c r="S57" s="2" t="s">
        <v>362</v>
      </c>
      <c r="T57" s="6"/>
      <c r="U57" s="6"/>
      <c r="V57" s="6"/>
      <c r="W57" s="6" t="s">
        <v>33</v>
      </c>
    </row>
    <row r="58" spans="1:23" ht="195" x14ac:dyDescent="0.2">
      <c r="A58" s="2" t="s">
        <v>363</v>
      </c>
      <c r="B58" s="3" t="s">
        <v>24</v>
      </c>
      <c r="C58" s="4">
        <v>1.2962962962962963E-2</v>
      </c>
      <c r="D58" s="4">
        <v>1.3194444444444444E-2</v>
      </c>
      <c r="E58" s="5">
        <f t="shared" si="0"/>
        <v>20</v>
      </c>
      <c r="F58" s="2" t="str">
        <f t="shared" si="1"/>
        <v>בטווח 15–20</v>
      </c>
      <c r="G58" s="2" t="s">
        <v>364</v>
      </c>
      <c r="H58" s="2" t="s">
        <v>365</v>
      </c>
      <c r="I58" s="2" t="s">
        <v>366</v>
      </c>
      <c r="J58" s="2" t="s">
        <v>86</v>
      </c>
      <c r="K58" s="2" t="s">
        <v>367</v>
      </c>
      <c r="L58" s="2" t="s">
        <v>29</v>
      </c>
      <c r="M58" s="2"/>
      <c r="N58" s="2" t="s">
        <v>30</v>
      </c>
      <c r="O58" s="2" t="s">
        <v>31</v>
      </c>
      <c r="P58" s="2"/>
      <c r="Q58" s="2"/>
      <c r="R58" s="2"/>
      <c r="S58" s="2" t="s">
        <v>368</v>
      </c>
      <c r="T58" s="6"/>
      <c r="U58" s="6"/>
      <c r="V58" s="6"/>
      <c r="W58" s="6" t="s">
        <v>33</v>
      </c>
    </row>
    <row r="59" spans="1:23" ht="314" x14ac:dyDescent="0.2">
      <c r="A59" s="2" t="s">
        <v>369</v>
      </c>
      <c r="B59" s="3" t="s">
        <v>24</v>
      </c>
      <c r="C59" s="4">
        <v>1.3194444444444444E-2</v>
      </c>
      <c r="D59" s="4">
        <v>1.3425925925925926E-2</v>
      </c>
      <c r="E59" s="5">
        <f t="shared" si="0"/>
        <v>20</v>
      </c>
      <c r="F59" s="2" t="str">
        <f t="shared" si="1"/>
        <v>בטווח 15–20</v>
      </c>
      <c r="G59" s="2" t="s">
        <v>370</v>
      </c>
      <c r="H59" s="2" t="s">
        <v>371</v>
      </c>
      <c r="I59" s="2" t="s">
        <v>372</v>
      </c>
      <c r="J59" s="2" t="s">
        <v>28</v>
      </c>
      <c r="K59" s="2"/>
      <c r="L59" s="2" t="s">
        <v>29</v>
      </c>
      <c r="M59" s="2"/>
      <c r="N59" s="2" t="s">
        <v>30</v>
      </c>
      <c r="O59" s="2" t="s">
        <v>31</v>
      </c>
      <c r="P59" s="2"/>
      <c r="Q59" s="2"/>
      <c r="R59" s="2"/>
      <c r="S59" s="2" t="s">
        <v>373</v>
      </c>
      <c r="T59" s="6"/>
      <c r="U59" s="6"/>
      <c r="V59" s="6"/>
      <c r="W59" s="6" t="s">
        <v>33</v>
      </c>
    </row>
    <row r="60" spans="1:23" ht="285" x14ac:dyDescent="0.2">
      <c r="A60" s="2" t="s">
        <v>374</v>
      </c>
      <c r="B60" s="3" t="s">
        <v>51</v>
      </c>
      <c r="C60" s="4">
        <v>1.3425925925925926E-2</v>
      </c>
      <c r="D60" s="4">
        <v>1.3657407407407408E-2</v>
      </c>
      <c r="E60" s="5">
        <f t="shared" si="0"/>
        <v>20</v>
      </c>
      <c r="F60" s="2" t="str">
        <f t="shared" si="1"/>
        <v>בטווח 15–20</v>
      </c>
      <c r="G60" s="2" t="s">
        <v>375</v>
      </c>
      <c r="H60" s="2" t="s">
        <v>376</v>
      </c>
      <c r="I60" s="2" t="s">
        <v>377</v>
      </c>
      <c r="J60" s="2" t="s">
        <v>28</v>
      </c>
      <c r="K60" s="2" t="s">
        <v>378</v>
      </c>
      <c r="L60" s="2" t="s">
        <v>29</v>
      </c>
      <c r="M60" s="2"/>
      <c r="N60" s="2" t="s">
        <v>30</v>
      </c>
      <c r="O60" s="2" t="s">
        <v>281</v>
      </c>
      <c r="P60" s="2"/>
      <c r="Q60" s="2"/>
      <c r="R60" s="2"/>
      <c r="S60" s="2" t="s">
        <v>379</v>
      </c>
      <c r="T60" s="6"/>
      <c r="U60" s="6"/>
      <c r="V60" s="6"/>
      <c r="W60" s="6" t="s">
        <v>33</v>
      </c>
    </row>
    <row r="61" spans="1:23" ht="409.6" x14ac:dyDescent="0.2">
      <c r="A61" s="2" t="s">
        <v>380</v>
      </c>
      <c r="B61" s="3" t="s">
        <v>57</v>
      </c>
      <c r="C61" s="4">
        <v>1.3657407407407408E-2</v>
      </c>
      <c r="D61" s="4">
        <v>1.3888888888888888E-2</v>
      </c>
      <c r="E61" s="5">
        <f t="shared" si="0"/>
        <v>20</v>
      </c>
      <c r="F61" s="2" t="str">
        <f t="shared" si="1"/>
        <v>בטווח 15–20</v>
      </c>
      <c r="G61" s="2" t="s">
        <v>381</v>
      </c>
      <c r="H61" s="2" t="s">
        <v>382</v>
      </c>
      <c r="I61" s="2" t="s">
        <v>383</v>
      </c>
      <c r="J61" s="2" t="s">
        <v>38</v>
      </c>
      <c r="K61" s="2" t="s">
        <v>384</v>
      </c>
      <c r="L61" s="2" t="s">
        <v>385</v>
      </c>
      <c r="M61" s="2" t="s">
        <v>386</v>
      </c>
      <c r="N61" s="2" t="s">
        <v>64</v>
      </c>
      <c r="O61" s="2" t="s">
        <v>31</v>
      </c>
      <c r="P61" s="2" t="s">
        <v>387</v>
      </c>
      <c r="Q61" s="2"/>
      <c r="R61" s="2"/>
      <c r="S61" s="2" t="s">
        <v>388</v>
      </c>
      <c r="T61" s="6"/>
      <c r="U61" s="6"/>
      <c r="V61" s="6"/>
      <c r="W61" s="6" t="s">
        <v>33</v>
      </c>
    </row>
    <row r="62" spans="1:23" ht="300" x14ac:dyDescent="0.2">
      <c r="A62" s="2" t="s">
        <v>389</v>
      </c>
      <c r="B62" s="3" t="s">
        <v>51</v>
      </c>
      <c r="C62" s="4">
        <v>1.3888888888888888E-2</v>
      </c>
      <c r="D62" s="4">
        <v>1.412037037037037E-2</v>
      </c>
      <c r="E62" s="5">
        <f t="shared" si="0"/>
        <v>20</v>
      </c>
      <c r="F62" s="2" t="str">
        <f t="shared" si="1"/>
        <v>בטווח 15–20</v>
      </c>
      <c r="G62" s="2" t="s">
        <v>390</v>
      </c>
      <c r="H62" s="2" t="s">
        <v>391</v>
      </c>
      <c r="I62" s="2" t="s">
        <v>392</v>
      </c>
      <c r="J62" s="2" t="s">
        <v>38</v>
      </c>
      <c r="K62" s="2"/>
      <c r="L62" s="2" t="s">
        <v>29</v>
      </c>
      <c r="M62" s="2"/>
      <c r="N62" s="2" t="s">
        <v>30</v>
      </c>
      <c r="O62" s="2" t="s">
        <v>31</v>
      </c>
      <c r="P62" s="2"/>
      <c r="Q62" s="2" t="s">
        <v>393</v>
      </c>
      <c r="R62" s="2"/>
      <c r="S62" s="2" t="s">
        <v>394</v>
      </c>
      <c r="T62" s="6"/>
      <c r="U62" s="6"/>
      <c r="V62" s="6"/>
      <c r="W62" s="6" t="s">
        <v>33</v>
      </c>
    </row>
    <row r="63" spans="1:23" ht="384" x14ac:dyDescent="0.2">
      <c r="A63" s="2" t="s">
        <v>395</v>
      </c>
      <c r="B63" s="3" t="s">
        <v>57</v>
      </c>
      <c r="C63" s="4">
        <v>1.412037037037037E-2</v>
      </c>
      <c r="D63" s="4">
        <v>1.4351851851851852E-2</v>
      </c>
      <c r="E63" s="5">
        <f t="shared" si="0"/>
        <v>20</v>
      </c>
      <c r="F63" s="2" t="str">
        <f t="shared" si="1"/>
        <v>בטווח 15–20</v>
      </c>
      <c r="G63" s="2" t="s">
        <v>396</v>
      </c>
      <c r="H63" s="2" t="s">
        <v>397</v>
      </c>
      <c r="I63" s="2" t="s">
        <v>398</v>
      </c>
      <c r="J63" s="2" t="s">
        <v>28</v>
      </c>
      <c r="K63" s="2" t="s">
        <v>399</v>
      </c>
      <c r="L63" s="2" t="s">
        <v>400</v>
      </c>
      <c r="M63" s="2" t="s">
        <v>401</v>
      </c>
      <c r="N63" s="2" t="s">
        <v>64</v>
      </c>
      <c r="O63" s="2" t="s">
        <v>31</v>
      </c>
      <c r="P63" s="2" t="s">
        <v>402</v>
      </c>
      <c r="Q63" s="2" t="s">
        <v>393</v>
      </c>
      <c r="R63" s="2"/>
      <c r="S63" s="2" t="s">
        <v>403</v>
      </c>
      <c r="T63" s="6"/>
      <c r="U63" s="6"/>
      <c r="V63" s="6"/>
      <c r="W63" s="6" t="s">
        <v>33</v>
      </c>
    </row>
    <row r="64" spans="1:23" ht="409.6" x14ac:dyDescent="0.2">
      <c r="A64" s="2" t="s">
        <v>404</v>
      </c>
      <c r="B64" s="3" t="s">
        <v>24</v>
      </c>
      <c r="C64" s="4">
        <v>1.4351851851851852E-2</v>
      </c>
      <c r="D64" s="4">
        <v>1.4583333333333334E-2</v>
      </c>
      <c r="E64" s="5">
        <f t="shared" si="0"/>
        <v>20</v>
      </c>
      <c r="F64" s="2" t="str">
        <f t="shared" si="1"/>
        <v>בטווח 15–20</v>
      </c>
      <c r="G64" s="2" t="s">
        <v>405</v>
      </c>
      <c r="H64" s="2" t="s">
        <v>406</v>
      </c>
      <c r="I64" s="2" t="s">
        <v>407</v>
      </c>
      <c r="J64" s="2" t="s">
        <v>28</v>
      </c>
      <c r="K64" s="2"/>
      <c r="L64" s="2" t="s">
        <v>29</v>
      </c>
      <c r="M64" s="2"/>
      <c r="N64" s="2" t="s">
        <v>30</v>
      </c>
      <c r="O64" s="2" t="s">
        <v>31</v>
      </c>
      <c r="P64" s="2"/>
      <c r="Q64" s="2"/>
      <c r="R64" s="2" t="s">
        <v>408</v>
      </c>
      <c r="S64" s="2" t="s">
        <v>409</v>
      </c>
      <c r="T64" s="6"/>
      <c r="U64" s="6"/>
      <c r="V64" s="6"/>
      <c r="W64" s="6" t="s">
        <v>33</v>
      </c>
    </row>
    <row r="65" spans="1:23" ht="270" x14ac:dyDescent="0.2">
      <c r="A65" s="2" t="s">
        <v>410</v>
      </c>
      <c r="B65" s="3" t="s">
        <v>24</v>
      </c>
      <c r="C65" s="4">
        <v>1.4583333333333334E-2</v>
      </c>
      <c r="D65" s="4">
        <v>1.4814814814814815E-2</v>
      </c>
      <c r="E65" s="5">
        <f t="shared" si="0"/>
        <v>20</v>
      </c>
      <c r="F65" s="2" t="str">
        <f t="shared" si="1"/>
        <v>בטווח 15–20</v>
      </c>
      <c r="G65" s="2" t="s">
        <v>411</v>
      </c>
      <c r="H65" s="2" t="s">
        <v>412</v>
      </c>
      <c r="I65" s="2" t="s">
        <v>413</v>
      </c>
      <c r="J65" s="2" t="s">
        <v>38</v>
      </c>
      <c r="K65" s="2"/>
      <c r="L65" s="2" t="s">
        <v>29</v>
      </c>
      <c r="M65" s="2"/>
      <c r="N65" s="2" t="s">
        <v>30</v>
      </c>
      <c r="O65" s="2" t="s">
        <v>31</v>
      </c>
      <c r="P65" s="2"/>
      <c r="Q65" s="2" t="s">
        <v>414</v>
      </c>
      <c r="R65" s="2" t="s">
        <v>408</v>
      </c>
      <c r="S65" s="2" t="s">
        <v>415</v>
      </c>
      <c r="T65" s="6"/>
      <c r="U65" s="6"/>
      <c r="V65" s="6"/>
      <c r="W65" s="6" t="s">
        <v>33</v>
      </c>
    </row>
    <row r="66" spans="1:23" ht="225" x14ac:dyDescent="0.2">
      <c r="A66" s="2" t="s">
        <v>416</v>
      </c>
      <c r="B66" s="3" t="s">
        <v>24</v>
      </c>
      <c r="C66" s="4">
        <v>1.4814814814814815E-2</v>
      </c>
      <c r="D66" s="4">
        <v>1.5046296296296295E-2</v>
      </c>
      <c r="E66" s="5">
        <f t="shared" ref="E66:E129" si="2">ROUND((D66-C66)*86400,3)</f>
        <v>20</v>
      </c>
      <c r="F66" s="2" t="str">
        <f t="shared" ref="F66:F129" si="3">IF(AND(E66&gt;=15,E66&lt;=20),"בטווח 15–20","לבדיקה")</f>
        <v>בטווח 15–20</v>
      </c>
      <c r="G66" s="2" t="s">
        <v>417</v>
      </c>
      <c r="H66" s="2" t="s">
        <v>418</v>
      </c>
      <c r="I66" s="2" t="s">
        <v>419</v>
      </c>
      <c r="J66" s="2" t="s">
        <v>86</v>
      </c>
      <c r="K66" s="2"/>
      <c r="L66" s="2" t="s">
        <v>29</v>
      </c>
      <c r="M66" s="2"/>
      <c r="N66" s="2" t="s">
        <v>30</v>
      </c>
      <c r="O66" s="2" t="s">
        <v>31</v>
      </c>
      <c r="P66" s="2"/>
      <c r="Q66" s="2"/>
      <c r="R66" s="2"/>
      <c r="S66" s="2" t="s">
        <v>420</v>
      </c>
      <c r="T66" s="6"/>
      <c r="U66" s="6"/>
      <c r="V66" s="6"/>
      <c r="W66" s="6" t="s">
        <v>33</v>
      </c>
    </row>
    <row r="67" spans="1:23" ht="342" x14ac:dyDescent="0.2">
      <c r="A67" s="2" t="s">
        <v>421</v>
      </c>
      <c r="B67" s="3" t="s">
        <v>57</v>
      </c>
      <c r="C67" s="4">
        <v>1.5046296296296295E-2</v>
      </c>
      <c r="D67" s="4">
        <v>1.5277777777777777E-2</v>
      </c>
      <c r="E67" s="5">
        <f t="shared" si="2"/>
        <v>20</v>
      </c>
      <c r="F67" s="2" t="str">
        <f t="shared" si="3"/>
        <v>בטווח 15–20</v>
      </c>
      <c r="G67" s="2" t="s">
        <v>422</v>
      </c>
      <c r="H67" s="2" t="s">
        <v>423</v>
      </c>
      <c r="I67" s="2" t="s">
        <v>424</v>
      </c>
      <c r="J67" s="2" t="s">
        <v>28</v>
      </c>
      <c r="K67" s="2" t="s">
        <v>425</v>
      </c>
      <c r="L67" s="2" t="s">
        <v>426</v>
      </c>
      <c r="M67" s="2" t="s">
        <v>427</v>
      </c>
      <c r="N67" s="2" t="s">
        <v>64</v>
      </c>
      <c r="O67" s="2" t="s">
        <v>31</v>
      </c>
      <c r="P67" s="2" t="s">
        <v>428</v>
      </c>
      <c r="Q67" s="2"/>
      <c r="R67" s="2" t="s">
        <v>429</v>
      </c>
      <c r="S67" s="2" t="s">
        <v>430</v>
      </c>
      <c r="T67" s="6"/>
      <c r="U67" s="6"/>
      <c r="V67" s="6"/>
      <c r="W67" s="6" t="s">
        <v>33</v>
      </c>
    </row>
    <row r="68" spans="1:23" ht="342" x14ac:dyDescent="0.2">
      <c r="A68" s="2" t="s">
        <v>431</v>
      </c>
      <c r="B68" s="3" t="s">
        <v>24</v>
      </c>
      <c r="C68" s="4">
        <v>1.5277777777777777E-2</v>
      </c>
      <c r="D68" s="4">
        <v>1.5509259259259259E-2</v>
      </c>
      <c r="E68" s="5">
        <f t="shared" si="2"/>
        <v>20</v>
      </c>
      <c r="F68" s="2" t="str">
        <f t="shared" si="3"/>
        <v>בטווח 15–20</v>
      </c>
      <c r="G68" s="2" t="s">
        <v>432</v>
      </c>
      <c r="H68" s="2" t="s">
        <v>433</v>
      </c>
      <c r="I68" s="2" t="s">
        <v>434</v>
      </c>
      <c r="J68" s="2" t="s">
        <v>28</v>
      </c>
      <c r="K68" s="2"/>
      <c r="L68" s="2" t="s">
        <v>29</v>
      </c>
      <c r="M68" s="2"/>
      <c r="N68" s="2" t="s">
        <v>30</v>
      </c>
      <c r="O68" s="2" t="s">
        <v>31</v>
      </c>
      <c r="P68" s="2"/>
      <c r="Q68" s="2"/>
      <c r="R68" s="2" t="s">
        <v>429</v>
      </c>
      <c r="S68" s="2" t="s">
        <v>435</v>
      </c>
      <c r="T68" s="6"/>
      <c r="U68" s="6"/>
      <c r="V68" s="6"/>
      <c r="W68" s="6" t="s">
        <v>33</v>
      </c>
    </row>
    <row r="69" spans="1:23" ht="270" x14ac:dyDescent="0.2">
      <c r="A69" s="2" t="s">
        <v>436</v>
      </c>
      <c r="B69" s="3" t="s">
        <v>24</v>
      </c>
      <c r="C69" s="4">
        <v>1.5509259259259259E-2</v>
      </c>
      <c r="D69" s="4">
        <v>1.5740740740740739E-2</v>
      </c>
      <c r="E69" s="5">
        <f t="shared" si="2"/>
        <v>20</v>
      </c>
      <c r="F69" s="2" t="str">
        <f t="shared" si="3"/>
        <v>בטווח 15–20</v>
      </c>
      <c r="G69" s="2" t="s">
        <v>437</v>
      </c>
      <c r="H69" s="2" t="s">
        <v>438</v>
      </c>
      <c r="I69" s="2" t="s">
        <v>439</v>
      </c>
      <c r="J69" s="2" t="s">
        <v>28</v>
      </c>
      <c r="K69" s="2"/>
      <c r="L69" s="2" t="s">
        <v>29</v>
      </c>
      <c r="M69" s="2"/>
      <c r="N69" s="2" t="s">
        <v>30</v>
      </c>
      <c r="O69" s="2" t="s">
        <v>31</v>
      </c>
      <c r="P69" s="2"/>
      <c r="Q69" s="2"/>
      <c r="R69" s="2"/>
      <c r="S69" s="2" t="s">
        <v>440</v>
      </c>
      <c r="T69" s="6"/>
      <c r="U69" s="6"/>
      <c r="V69" s="6"/>
      <c r="W69" s="6" t="s">
        <v>33</v>
      </c>
    </row>
    <row r="70" spans="1:23" ht="356" x14ac:dyDescent="0.2">
      <c r="A70" s="2" t="s">
        <v>441</v>
      </c>
      <c r="B70" s="3" t="s">
        <v>51</v>
      </c>
      <c r="C70" s="4">
        <v>1.5740740740740739E-2</v>
      </c>
      <c r="D70" s="4">
        <v>1.5972222222222221E-2</v>
      </c>
      <c r="E70" s="5">
        <f t="shared" si="2"/>
        <v>20</v>
      </c>
      <c r="F70" s="2" t="str">
        <f t="shared" si="3"/>
        <v>בטווח 15–20</v>
      </c>
      <c r="G70" s="2" t="s">
        <v>442</v>
      </c>
      <c r="H70" s="2" t="s">
        <v>443</v>
      </c>
      <c r="I70" s="2" t="s">
        <v>444</v>
      </c>
      <c r="J70" s="2" t="s">
        <v>28</v>
      </c>
      <c r="K70" s="2"/>
      <c r="L70" s="2" t="s">
        <v>29</v>
      </c>
      <c r="M70" s="2"/>
      <c r="N70" s="2" t="s">
        <v>30</v>
      </c>
      <c r="O70" s="2" t="s">
        <v>31</v>
      </c>
      <c r="P70" s="2"/>
      <c r="Q70" s="2"/>
      <c r="R70" s="2"/>
      <c r="S70" s="2" t="s">
        <v>445</v>
      </c>
      <c r="T70" s="6"/>
      <c r="U70" s="6"/>
      <c r="V70" s="6"/>
      <c r="W70" s="6" t="s">
        <v>33</v>
      </c>
    </row>
    <row r="71" spans="1:23" ht="240" x14ac:dyDescent="0.2">
      <c r="A71" s="2" t="s">
        <v>446</v>
      </c>
      <c r="B71" s="3" t="s">
        <v>24</v>
      </c>
      <c r="C71" s="4">
        <v>1.5972222222222221E-2</v>
      </c>
      <c r="D71" s="4">
        <v>1.6203703703703703E-2</v>
      </c>
      <c r="E71" s="5">
        <f t="shared" si="2"/>
        <v>20</v>
      </c>
      <c r="F71" s="2" t="str">
        <f t="shared" si="3"/>
        <v>בטווח 15–20</v>
      </c>
      <c r="G71" s="2" t="s">
        <v>447</v>
      </c>
      <c r="H71" s="2" t="s">
        <v>448</v>
      </c>
      <c r="I71" s="2" t="s">
        <v>449</v>
      </c>
      <c r="J71" s="2" t="s">
        <v>86</v>
      </c>
      <c r="K71" s="2"/>
      <c r="L71" s="2" t="s">
        <v>29</v>
      </c>
      <c r="M71" s="2"/>
      <c r="N71" s="2" t="s">
        <v>30</v>
      </c>
      <c r="O71" s="2" t="s">
        <v>31</v>
      </c>
      <c r="P71" s="2"/>
      <c r="Q71" s="2"/>
      <c r="R71" s="2"/>
      <c r="S71" s="2" t="s">
        <v>450</v>
      </c>
      <c r="T71" s="6"/>
      <c r="U71" s="6"/>
      <c r="V71" s="6"/>
      <c r="W71" s="6" t="s">
        <v>33</v>
      </c>
    </row>
    <row r="72" spans="1:23" ht="300" x14ac:dyDescent="0.2">
      <c r="A72" s="2" t="s">
        <v>451</v>
      </c>
      <c r="B72" s="3" t="s">
        <v>24</v>
      </c>
      <c r="C72" s="4">
        <v>1.6203703703703703E-2</v>
      </c>
      <c r="D72" s="4">
        <v>1.6435185185185185E-2</v>
      </c>
      <c r="E72" s="5">
        <f t="shared" si="2"/>
        <v>20</v>
      </c>
      <c r="F72" s="2" t="str">
        <f t="shared" si="3"/>
        <v>בטווח 15–20</v>
      </c>
      <c r="G72" s="2" t="s">
        <v>452</v>
      </c>
      <c r="H72" s="2" t="s">
        <v>453</v>
      </c>
      <c r="I72" s="2" t="s">
        <v>454</v>
      </c>
      <c r="J72" s="2" t="s">
        <v>86</v>
      </c>
      <c r="K72" s="2"/>
      <c r="L72" s="2" t="s">
        <v>29</v>
      </c>
      <c r="M72" s="2"/>
      <c r="N72" s="2" t="s">
        <v>30</v>
      </c>
      <c r="O72" s="2" t="s">
        <v>31</v>
      </c>
      <c r="P72" s="2"/>
      <c r="Q72" s="2"/>
      <c r="R72" s="2"/>
      <c r="S72" s="2" t="s">
        <v>455</v>
      </c>
      <c r="T72" s="6"/>
      <c r="U72" s="6"/>
      <c r="V72" s="6"/>
      <c r="W72" s="6" t="s">
        <v>33</v>
      </c>
    </row>
    <row r="73" spans="1:23" ht="314" x14ac:dyDescent="0.2">
      <c r="A73" s="2" t="s">
        <v>456</v>
      </c>
      <c r="B73" s="3" t="s">
        <v>24</v>
      </c>
      <c r="C73" s="4">
        <v>1.6435185185185185E-2</v>
      </c>
      <c r="D73" s="4">
        <v>1.6666666666666666E-2</v>
      </c>
      <c r="E73" s="5">
        <f t="shared" si="2"/>
        <v>20</v>
      </c>
      <c r="F73" s="2" t="str">
        <f t="shared" si="3"/>
        <v>בטווח 15–20</v>
      </c>
      <c r="G73" s="2" t="s">
        <v>457</v>
      </c>
      <c r="H73" s="2" t="s">
        <v>458</v>
      </c>
      <c r="I73" s="2" t="s">
        <v>459</v>
      </c>
      <c r="J73" s="2" t="s">
        <v>86</v>
      </c>
      <c r="K73" s="2"/>
      <c r="L73" s="2" t="s">
        <v>29</v>
      </c>
      <c r="M73" s="2"/>
      <c r="N73" s="2" t="s">
        <v>30</v>
      </c>
      <c r="O73" s="2" t="s">
        <v>31</v>
      </c>
      <c r="P73" s="2"/>
      <c r="Q73" s="2"/>
      <c r="R73" s="2"/>
      <c r="S73" s="2" t="s">
        <v>460</v>
      </c>
      <c r="T73" s="6"/>
      <c r="U73" s="6"/>
      <c r="V73" s="6"/>
      <c r="W73" s="6" t="s">
        <v>33</v>
      </c>
    </row>
    <row r="74" spans="1:23" ht="195" x14ac:dyDescent="0.2">
      <c r="A74" s="2" t="s">
        <v>461</v>
      </c>
      <c r="B74" s="3" t="s">
        <v>51</v>
      </c>
      <c r="C74" s="4">
        <v>1.6666666666666666E-2</v>
      </c>
      <c r="D74" s="4">
        <v>1.6898148148148148E-2</v>
      </c>
      <c r="E74" s="5">
        <f t="shared" si="2"/>
        <v>20</v>
      </c>
      <c r="F74" s="2" t="str">
        <f t="shared" si="3"/>
        <v>בטווח 15–20</v>
      </c>
      <c r="G74" s="2" t="s">
        <v>462</v>
      </c>
      <c r="H74" s="2" t="s">
        <v>463</v>
      </c>
      <c r="I74" s="2" t="s">
        <v>464</v>
      </c>
      <c r="J74" s="2" t="s">
        <v>86</v>
      </c>
      <c r="K74" s="2"/>
      <c r="L74" s="2" t="s">
        <v>29</v>
      </c>
      <c r="M74" s="2"/>
      <c r="N74" s="2" t="s">
        <v>30</v>
      </c>
      <c r="O74" s="2" t="s">
        <v>31</v>
      </c>
      <c r="P74" s="2"/>
      <c r="Q74" s="2"/>
      <c r="R74" s="2"/>
      <c r="S74" s="2" t="s">
        <v>465</v>
      </c>
      <c r="T74" s="6"/>
      <c r="U74" s="6"/>
      <c r="V74" s="6"/>
      <c r="W74" s="6" t="s">
        <v>33</v>
      </c>
    </row>
    <row r="75" spans="1:23" ht="255" x14ac:dyDescent="0.2">
      <c r="A75" s="2" t="s">
        <v>466</v>
      </c>
      <c r="B75" s="3" t="s">
        <v>51</v>
      </c>
      <c r="C75" s="4">
        <v>1.6898148148148148E-2</v>
      </c>
      <c r="D75" s="4">
        <v>1.712962962962963E-2</v>
      </c>
      <c r="E75" s="5">
        <f t="shared" si="2"/>
        <v>20</v>
      </c>
      <c r="F75" s="2" t="str">
        <f t="shared" si="3"/>
        <v>בטווח 15–20</v>
      </c>
      <c r="G75" s="2" t="s">
        <v>467</v>
      </c>
      <c r="H75" s="2" t="s">
        <v>468</v>
      </c>
      <c r="I75" s="2" t="s">
        <v>469</v>
      </c>
      <c r="J75" s="2" t="s">
        <v>28</v>
      </c>
      <c r="K75" s="2"/>
      <c r="L75" s="2" t="s">
        <v>29</v>
      </c>
      <c r="M75" s="2"/>
      <c r="N75" s="2" t="s">
        <v>30</v>
      </c>
      <c r="O75" s="2" t="s">
        <v>31</v>
      </c>
      <c r="P75" s="2"/>
      <c r="Q75" s="2"/>
      <c r="R75" s="2"/>
      <c r="S75" s="2" t="s">
        <v>470</v>
      </c>
      <c r="T75" s="6"/>
      <c r="U75" s="6"/>
      <c r="V75" s="6"/>
      <c r="W75" s="6" t="s">
        <v>33</v>
      </c>
    </row>
    <row r="76" spans="1:23" ht="285" x14ac:dyDescent="0.2">
      <c r="A76" s="2" t="s">
        <v>471</v>
      </c>
      <c r="B76" s="3" t="s">
        <v>51</v>
      </c>
      <c r="C76" s="4">
        <v>1.712962962962963E-2</v>
      </c>
      <c r="D76" s="4">
        <v>1.7361111111111112E-2</v>
      </c>
      <c r="E76" s="5">
        <f t="shared" si="2"/>
        <v>20</v>
      </c>
      <c r="F76" s="2" t="str">
        <f t="shared" si="3"/>
        <v>בטווח 15–20</v>
      </c>
      <c r="G76" s="2" t="s">
        <v>472</v>
      </c>
      <c r="H76" s="2" t="s">
        <v>473</v>
      </c>
      <c r="I76" s="2" t="s">
        <v>474</v>
      </c>
      <c r="J76" s="2" t="s">
        <v>28</v>
      </c>
      <c r="K76" s="2"/>
      <c r="L76" s="2" t="s">
        <v>29</v>
      </c>
      <c r="M76" s="2"/>
      <c r="N76" s="2" t="s">
        <v>30</v>
      </c>
      <c r="O76" s="2" t="s">
        <v>31</v>
      </c>
      <c r="P76" s="2"/>
      <c r="Q76" s="2"/>
      <c r="R76" s="2"/>
      <c r="S76" s="2" t="s">
        <v>475</v>
      </c>
      <c r="T76" s="6"/>
      <c r="U76" s="6"/>
      <c r="V76" s="6"/>
      <c r="W76" s="6" t="s">
        <v>33</v>
      </c>
    </row>
    <row r="77" spans="1:23" ht="314" x14ac:dyDescent="0.2">
      <c r="A77" s="2" t="s">
        <v>476</v>
      </c>
      <c r="B77" s="3" t="s">
        <v>51</v>
      </c>
      <c r="C77" s="4">
        <v>1.7361111111111112E-2</v>
      </c>
      <c r="D77" s="4">
        <v>1.7592592592592594E-2</v>
      </c>
      <c r="E77" s="5">
        <f t="shared" si="2"/>
        <v>20</v>
      </c>
      <c r="F77" s="2" t="str">
        <f t="shared" si="3"/>
        <v>בטווח 15–20</v>
      </c>
      <c r="G77" s="2" t="s">
        <v>477</v>
      </c>
      <c r="H77" s="2" t="s">
        <v>478</v>
      </c>
      <c r="I77" s="2" t="s">
        <v>479</v>
      </c>
      <c r="J77" s="2" t="s">
        <v>38</v>
      </c>
      <c r="K77" s="2"/>
      <c r="L77" s="2" t="s">
        <v>29</v>
      </c>
      <c r="M77" s="2"/>
      <c r="N77" s="2" t="s">
        <v>30</v>
      </c>
      <c r="O77" s="2" t="s">
        <v>31</v>
      </c>
      <c r="P77" s="2"/>
      <c r="Q77" s="2" t="s">
        <v>480</v>
      </c>
      <c r="R77" s="2"/>
      <c r="S77" s="2" t="s">
        <v>481</v>
      </c>
      <c r="T77" s="6"/>
      <c r="U77" s="6"/>
      <c r="V77" s="6"/>
      <c r="W77" s="6" t="s">
        <v>33</v>
      </c>
    </row>
    <row r="78" spans="1:23" ht="370" x14ac:dyDescent="0.2">
      <c r="A78" s="2" t="s">
        <v>482</v>
      </c>
      <c r="B78" s="3" t="s">
        <v>51</v>
      </c>
      <c r="C78" s="4">
        <v>1.7592592592592594E-2</v>
      </c>
      <c r="D78" s="4">
        <v>1.7824074074074076E-2</v>
      </c>
      <c r="E78" s="5">
        <f t="shared" si="2"/>
        <v>20</v>
      </c>
      <c r="F78" s="2" t="str">
        <f t="shared" si="3"/>
        <v>בטווח 15–20</v>
      </c>
      <c r="G78" s="2" t="s">
        <v>483</v>
      </c>
      <c r="H78" s="2" t="s">
        <v>484</v>
      </c>
      <c r="I78" s="2" t="s">
        <v>485</v>
      </c>
      <c r="J78" s="2" t="s">
        <v>28</v>
      </c>
      <c r="K78" s="2"/>
      <c r="L78" s="2" t="s">
        <v>29</v>
      </c>
      <c r="M78" s="2"/>
      <c r="N78" s="2" t="s">
        <v>30</v>
      </c>
      <c r="O78" s="2" t="s">
        <v>31</v>
      </c>
      <c r="P78" s="2"/>
      <c r="Q78" s="2"/>
      <c r="R78" s="2"/>
      <c r="S78" s="2" t="s">
        <v>486</v>
      </c>
      <c r="T78" s="6"/>
      <c r="U78" s="6"/>
      <c r="V78" s="6"/>
      <c r="W78" s="6" t="s">
        <v>33</v>
      </c>
    </row>
    <row r="79" spans="1:23" ht="398" x14ac:dyDescent="0.2">
      <c r="A79" s="2" t="s">
        <v>487</v>
      </c>
      <c r="B79" s="3" t="s">
        <v>51</v>
      </c>
      <c r="C79" s="4">
        <v>1.7824074074074076E-2</v>
      </c>
      <c r="D79" s="4">
        <v>1.8055555555555554E-2</v>
      </c>
      <c r="E79" s="5">
        <f t="shared" si="2"/>
        <v>20</v>
      </c>
      <c r="F79" s="2" t="str">
        <f t="shared" si="3"/>
        <v>בטווח 15–20</v>
      </c>
      <c r="G79" s="2" t="s">
        <v>488</v>
      </c>
      <c r="H79" s="2" t="s">
        <v>489</v>
      </c>
      <c r="I79" s="2" t="s">
        <v>490</v>
      </c>
      <c r="J79" s="2" t="s">
        <v>28</v>
      </c>
      <c r="K79" s="2"/>
      <c r="L79" s="2" t="s">
        <v>29</v>
      </c>
      <c r="M79" s="2"/>
      <c r="N79" s="2" t="s">
        <v>30</v>
      </c>
      <c r="O79" s="2" t="s">
        <v>31</v>
      </c>
      <c r="P79" s="2"/>
      <c r="Q79" s="2"/>
      <c r="R79" s="2"/>
      <c r="S79" s="2" t="s">
        <v>491</v>
      </c>
      <c r="T79" s="6"/>
      <c r="U79" s="6"/>
      <c r="V79" s="6"/>
      <c r="W79" s="6" t="s">
        <v>33</v>
      </c>
    </row>
    <row r="80" spans="1:23" ht="328" x14ac:dyDescent="0.2">
      <c r="A80" s="2" t="s">
        <v>492</v>
      </c>
      <c r="B80" s="3" t="s">
        <v>51</v>
      </c>
      <c r="C80" s="4">
        <v>1.8055555555555554E-2</v>
      </c>
      <c r="D80" s="4">
        <v>1.8287037037037036E-2</v>
      </c>
      <c r="E80" s="5">
        <f t="shared" si="2"/>
        <v>20</v>
      </c>
      <c r="F80" s="2" t="str">
        <f t="shared" si="3"/>
        <v>בטווח 15–20</v>
      </c>
      <c r="G80" s="2" t="s">
        <v>493</v>
      </c>
      <c r="H80" s="2" t="s">
        <v>494</v>
      </c>
      <c r="I80" s="2" t="s">
        <v>495</v>
      </c>
      <c r="J80" s="2" t="s">
        <v>28</v>
      </c>
      <c r="K80" s="2"/>
      <c r="L80" s="2" t="s">
        <v>29</v>
      </c>
      <c r="M80" s="2"/>
      <c r="N80" s="2" t="s">
        <v>30</v>
      </c>
      <c r="O80" s="2" t="s">
        <v>31</v>
      </c>
      <c r="P80" s="2"/>
      <c r="Q80" s="2"/>
      <c r="R80" s="2"/>
      <c r="S80" s="2" t="s">
        <v>496</v>
      </c>
      <c r="T80" s="6"/>
      <c r="U80" s="6"/>
      <c r="V80" s="6"/>
      <c r="W80" s="6" t="s">
        <v>33</v>
      </c>
    </row>
    <row r="81" spans="1:23" ht="285" x14ac:dyDescent="0.2">
      <c r="A81" s="2" t="s">
        <v>497</v>
      </c>
      <c r="B81" s="3" t="s">
        <v>51</v>
      </c>
      <c r="C81" s="4">
        <v>1.8287037037037036E-2</v>
      </c>
      <c r="D81" s="4">
        <v>1.8518518518518517E-2</v>
      </c>
      <c r="E81" s="5">
        <f t="shared" si="2"/>
        <v>20</v>
      </c>
      <c r="F81" s="2" t="str">
        <f t="shared" si="3"/>
        <v>בטווח 15–20</v>
      </c>
      <c r="G81" s="2" t="s">
        <v>498</v>
      </c>
      <c r="H81" s="2" t="s">
        <v>499</v>
      </c>
      <c r="I81" s="2" t="s">
        <v>500</v>
      </c>
      <c r="J81" s="2" t="s">
        <v>28</v>
      </c>
      <c r="K81" s="2"/>
      <c r="L81" s="2" t="s">
        <v>29</v>
      </c>
      <c r="M81" s="2"/>
      <c r="N81" s="2" t="s">
        <v>30</v>
      </c>
      <c r="O81" s="2" t="s">
        <v>31</v>
      </c>
      <c r="P81" s="2"/>
      <c r="Q81" s="2"/>
      <c r="R81" s="2"/>
      <c r="S81" s="2" t="s">
        <v>501</v>
      </c>
      <c r="T81" s="6"/>
      <c r="U81" s="6"/>
      <c r="V81" s="6"/>
      <c r="W81" s="6" t="s">
        <v>33</v>
      </c>
    </row>
    <row r="82" spans="1:23" ht="255" x14ac:dyDescent="0.2">
      <c r="A82" s="2" t="s">
        <v>502</v>
      </c>
      <c r="B82" s="3" t="s">
        <v>51</v>
      </c>
      <c r="C82" s="4">
        <v>1.8518518518518517E-2</v>
      </c>
      <c r="D82" s="4">
        <v>1.8749999999999999E-2</v>
      </c>
      <c r="E82" s="5">
        <f t="shared" si="2"/>
        <v>20</v>
      </c>
      <c r="F82" s="2" t="str">
        <f t="shared" si="3"/>
        <v>בטווח 15–20</v>
      </c>
      <c r="G82" s="2" t="s">
        <v>503</v>
      </c>
      <c r="H82" s="2" t="s">
        <v>504</v>
      </c>
      <c r="I82" s="2" t="s">
        <v>505</v>
      </c>
      <c r="J82" s="2" t="s">
        <v>86</v>
      </c>
      <c r="K82" s="2"/>
      <c r="L82" s="2" t="s">
        <v>29</v>
      </c>
      <c r="M82" s="2"/>
      <c r="N82" s="2" t="s">
        <v>30</v>
      </c>
      <c r="O82" s="2" t="s">
        <v>31</v>
      </c>
      <c r="P82" s="2"/>
      <c r="Q82" s="2"/>
      <c r="R82" s="2"/>
      <c r="S82" s="2" t="s">
        <v>506</v>
      </c>
      <c r="T82" s="6"/>
      <c r="U82" s="6"/>
      <c r="V82" s="6"/>
      <c r="W82" s="6" t="s">
        <v>33</v>
      </c>
    </row>
    <row r="83" spans="1:23" ht="195" x14ac:dyDescent="0.2">
      <c r="A83" s="2" t="s">
        <v>507</v>
      </c>
      <c r="B83" s="3" t="s">
        <v>51</v>
      </c>
      <c r="C83" s="4">
        <v>1.8749999999999999E-2</v>
      </c>
      <c r="D83" s="4">
        <v>1.8981481481481481E-2</v>
      </c>
      <c r="E83" s="5">
        <f t="shared" si="2"/>
        <v>20</v>
      </c>
      <c r="F83" s="2" t="str">
        <f t="shared" si="3"/>
        <v>בטווח 15–20</v>
      </c>
      <c r="G83" s="2" t="s">
        <v>508</v>
      </c>
      <c r="H83" s="2" t="s">
        <v>509</v>
      </c>
      <c r="I83" s="2" t="s">
        <v>510</v>
      </c>
      <c r="J83" s="2" t="s">
        <v>86</v>
      </c>
      <c r="K83" s="2"/>
      <c r="L83" s="2" t="s">
        <v>29</v>
      </c>
      <c r="M83" s="2"/>
      <c r="N83" s="2" t="s">
        <v>30</v>
      </c>
      <c r="O83" s="2" t="s">
        <v>31</v>
      </c>
      <c r="P83" s="2"/>
      <c r="Q83" s="2"/>
      <c r="R83" s="2" t="s">
        <v>511</v>
      </c>
      <c r="S83" s="2" t="s">
        <v>512</v>
      </c>
      <c r="T83" s="6"/>
      <c r="U83" s="6"/>
      <c r="V83" s="6"/>
      <c r="W83" s="6" t="s">
        <v>33</v>
      </c>
    </row>
    <row r="84" spans="1:23" ht="342" x14ac:dyDescent="0.2">
      <c r="A84" s="2" t="s">
        <v>513</v>
      </c>
      <c r="B84" s="3" t="s">
        <v>57</v>
      </c>
      <c r="C84" s="4">
        <v>1.8981481481481481E-2</v>
      </c>
      <c r="D84" s="4">
        <v>1.9212962962962963E-2</v>
      </c>
      <c r="E84" s="5">
        <f t="shared" si="2"/>
        <v>20</v>
      </c>
      <c r="F84" s="2" t="str">
        <f t="shared" si="3"/>
        <v>בטווח 15–20</v>
      </c>
      <c r="G84" s="2" t="s">
        <v>514</v>
      </c>
      <c r="H84" s="2" t="s">
        <v>515</v>
      </c>
      <c r="I84" s="2" t="s">
        <v>516</v>
      </c>
      <c r="J84" s="2" t="s">
        <v>28</v>
      </c>
      <c r="K84" s="2" t="s">
        <v>517</v>
      </c>
      <c r="L84" s="2" t="s">
        <v>518</v>
      </c>
      <c r="M84" s="2" t="s">
        <v>519</v>
      </c>
      <c r="N84" s="2" t="s">
        <v>64</v>
      </c>
      <c r="O84" s="2" t="s">
        <v>520</v>
      </c>
      <c r="P84" s="2" t="s">
        <v>521</v>
      </c>
      <c r="Q84" s="2" t="s">
        <v>480</v>
      </c>
      <c r="R84" s="2" t="s">
        <v>511</v>
      </c>
      <c r="S84" s="2" t="s">
        <v>522</v>
      </c>
      <c r="T84" s="6"/>
      <c r="U84" s="6"/>
      <c r="V84" s="6"/>
      <c r="W84" s="6" t="s">
        <v>33</v>
      </c>
    </row>
    <row r="85" spans="1:23" ht="342" x14ac:dyDescent="0.2">
      <c r="A85" s="2" t="s">
        <v>523</v>
      </c>
      <c r="B85" s="3" t="s">
        <v>51</v>
      </c>
      <c r="C85" s="4">
        <v>1.9212962962962963E-2</v>
      </c>
      <c r="D85" s="4">
        <v>1.9444444444444445E-2</v>
      </c>
      <c r="E85" s="5">
        <f t="shared" si="2"/>
        <v>20</v>
      </c>
      <c r="F85" s="2" t="str">
        <f t="shared" si="3"/>
        <v>בטווח 15–20</v>
      </c>
      <c r="G85" s="2" t="s">
        <v>524</v>
      </c>
      <c r="H85" s="2" t="s">
        <v>525</v>
      </c>
      <c r="I85" s="2" t="s">
        <v>526</v>
      </c>
      <c r="J85" s="2" t="s">
        <v>28</v>
      </c>
      <c r="K85" s="2"/>
      <c r="L85" s="2" t="s">
        <v>29</v>
      </c>
      <c r="M85" s="2"/>
      <c r="N85" s="2" t="s">
        <v>30</v>
      </c>
      <c r="O85" s="2" t="s">
        <v>31</v>
      </c>
      <c r="P85" s="2"/>
      <c r="Q85" s="2"/>
      <c r="R85" s="2" t="s">
        <v>511</v>
      </c>
      <c r="S85" s="2" t="s">
        <v>527</v>
      </c>
      <c r="T85" s="6"/>
      <c r="U85" s="6"/>
      <c r="V85" s="6"/>
      <c r="W85" s="6" t="s">
        <v>33</v>
      </c>
    </row>
    <row r="86" spans="1:23" ht="409.6" x14ac:dyDescent="0.2">
      <c r="A86" s="2" t="s">
        <v>528</v>
      </c>
      <c r="B86" s="3" t="s">
        <v>51</v>
      </c>
      <c r="C86" s="4">
        <v>1.9444444444444445E-2</v>
      </c>
      <c r="D86" s="4">
        <v>1.9675925925925927E-2</v>
      </c>
      <c r="E86" s="5">
        <f t="shared" si="2"/>
        <v>20</v>
      </c>
      <c r="F86" s="2" t="str">
        <f t="shared" si="3"/>
        <v>בטווח 15–20</v>
      </c>
      <c r="G86" s="2" t="s">
        <v>529</v>
      </c>
      <c r="H86" s="2" t="s">
        <v>530</v>
      </c>
      <c r="I86" s="2" t="s">
        <v>531</v>
      </c>
      <c r="J86" s="2" t="s">
        <v>28</v>
      </c>
      <c r="K86" s="2"/>
      <c r="L86" s="2" t="s">
        <v>29</v>
      </c>
      <c r="M86" s="2"/>
      <c r="N86" s="2" t="s">
        <v>30</v>
      </c>
      <c r="O86" s="2" t="s">
        <v>31</v>
      </c>
      <c r="P86" s="2"/>
      <c r="Q86" s="2"/>
      <c r="R86" s="2"/>
      <c r="S86" s="2" t="s">
        <v>532</v>
      </c>
      <c r="T86" s="6"/>
      <c r="U86" s="6"/>
      <c r="V86" s="6"/>
      <c r="W86" s="6" t="s">
        <v>33</v>
      </c>
    </row>
    <row r="87" spans="1:23" ht="409.6" x14ac:dyDescent="0.2">
      <c r="A87" s="2" t="s">
        <v>533</v>
      </c>
      <c r="B87" s="3" t="s">
        <v>51</v>
      </c>
      <c r="C87" s="4">
        <v>1.9675925925925927E-2</v>
      </c>
      <c r="D87" s="4">
        <v>1.9907407407407408E-2</v>
      </c>
      <c r="E87" s="5">
        <f t="shared" si="2"/>
        <v>20</v>
      </c>
      <c r="F87" s="2" t="str">
        <f t="shared" si="3"/>
        <v>בטווח 15–20</v>
      </c>
      <c r="G87" s="2" t="s">
        <v>534</v>
      </c>
      <c r="H87" s="2" t="s">
        <v>535</v>
      </c>
      <c r="I87" s="2" t="s">
        <v>536</v>
      </c>
      <c r="J87" s="2" t="s">
        <v>28</v>
      </c>
      <c r="K87" s="2"/>
      <c r="L87" s="2" t="s">
        <v>29</v>
      </c>
      <c r="M87" s="2"/>
      <c r="N87" s="2" t="s">
        <v>30</v>
      </c>
      <c r="O87" s="2" t="s">
        <v>31</v>
      </c>
      <c r="P87" s="2"/>
      <c r="Q87" s="2"/>
      <c r="R87" s="2"/>
      <c r="S87" s="2" t="s">
        <v>537</v>
      </c>
      <c r="T87" s="6"/>
      <c r="U87" s="6"/>
      <c r="V87" s="6"/>
      <c r="W87" s="6" t="s">
        <v>33</v>
      </c>
    </row>
    <row r="88" spans="1:23" ht="285" x14ac:dyDescent="0.2">
      <c r="A88" s="2" t="s">
        <v>538</v>
      </c>
      <c r="B88" s="3" t="s">
        <v>51</v>
      </c>
      <c r="C88" s="4">
        <v>1.9907407407407408E-2</v>
      </c>
      <c r="D88" s="4">
        <v>2.013888888888889E-2</v>
      </c>
      <c r="E88" s="5">
        <f t="shared" si="2"/>
        <v>20</v>
      </c>
      <c r="F88" s="2" t="str">
        <f t="shared" si="3"/>
        <v>בטווח 15–20</v>
      </c>
      <c r="G88" s="2" t="s">
        <v>539</v>
      </c>
      <c r="H88" s="2" t="s">
        <v>540</v>
      </c>
      <c r="I88" s="2" t="s">
        <v>541</v>
      </c>
      <c r="J88" s="2" t="s">
        <v>38</v>
      </c>
      <c r="K88" s="2"/>
      <c r="L88" s="2" t="s">
        <v>29</v>
      </c>
      <c r="M88" s="2"/>
      <c r="N88" s="2" t="s">
        <v>30</v>
      </c>
      <c r="O88" s="2" t="s">
        <v>31</v>
      </c>
      <c r="P88" s="2"/>
      <c r="Q88" s="2"/>
      <c r="R88" s="2"/>
      <c r="S88" s="2" t="s">
        <v>542</v>
      </c>
      <c r="T88" s="6"/>
      <c r="U88" s="6"/>
      <c r="V88" s="6"/>
      <c r="W88" s="6" t="s">
        <v>33</v>
      </c>
    </row>
    <row r="89" spans="1:23" ht="300" x14ac:dyDescent="0.2">
      <c r="A89" s="2" t="s">
        <v>543</v>
      </c>
      <c r="B89" s="3" t="s">
        <v>57</v>
      </c>
      <c r="C89" s="4">
        <v>2.013888888888889E-2</v>
      </c>
      <c r="D89" s="4">
        <v>2.0370370370370372E-2</v>
      </c>
      <c r="E89" s="5">
        <f t="shared" si="2"/>
        <v>20</v>
      </c>
      <c r="F89" s="2" t="str">
        <f t="shared" si="3"/>
        <v>בטווח 15–20</v>
      </c>
      <c r="G89" s="2" t="s">
        <v>544</v>
      </c>
      <c r="H89" s="2" t="s">
        <v>545</v>
      </c>
      <c r="I89" s="2" t="s">
        <v>546</v>
      </c>
      <c r="J89" s="2" t="s">
        <v>38</v>
      </c>
      <c r="K89" s="2" t="s">
        <v>547</v>
      </c>
      <c r="L89" s="2" t="s">
        <v>548</v>
      </c>
      <c r="M89" s="2" t="s">
        <v>549</v>
      </c>
      <c r="N89" s="2" t="s">
        <v>64</v>
      </c>
      <c r="O89" s="2" t="s">
        <v>550</v>
      </c>
      <c r="P89" s="2" t="s">
        <v>551</v>
      </c>
      <c r="Q89" s="2" t="s">
        <v>552</v>
      </c>
      <c r="R89" s="2" t="s">
        <v>553</v>
      </c>
      <c r="S89" s="2" t="s">
        <v>554</v>
      </c>
      <c r="T89" s="6"/>
      <c r="U89" s="6"/>
      <c r="V89" s="6"/>
      <c r="W89" s="6" t="s">
        <v>33</v>
      </c>
    </row>
    <row r="90" spans="1:23" ht="300" x14ac:dyDescent="0.2">
      <c r="A90" s="2" t="s">
        <v>555</v>
      </c>
      <c r="B90" s="3" t="s">
        <v>51</v>
      </c>
      <c r="C90" s="4">
        <v>2.0370370370370372E-2</v>
      </c>
      <c r="D90" s="4">
        <v>2.060185185185185E-2</v>
      </c>
      <c r="E90" s="5">
        <f t="shared" si="2"/>
        <v>20</v>
      </c>
      <c r="F90" s="2" t="str">
        <f t="shared" si="3"/>
        <v>בטווח 15–20</v>
      </c>
      <c r="G90" s="2" t="s">
        <v>556</v>
      </c>
      <c r="H90" s="2" t="s">
        <v>557</v>
      </c>
      <c r="I90" s="2" t="s">
        <v>558</v>
      </c>
      <c r="J90" s="2" t="s">
        <v>38</v>
      </c>
      <c r="K90" s="2"/>
      <c r="L90" s="2" t="s">
        <v>29</v>
      </c>
      <c r="M90" s="2"/>
      <c r="N90" s="2" t="s">
        <v>30</v>
      </c>
      <c r="O90" s="2" t="s">
        <v>31</v>
      </c>
      <c r="P90" s="2"/>
      <c r="Q90" s="2" t="s">
        <v>559</v>
      </c>
      <c r="R90" s="2" t="s">
        <v>560</v>
      </c>
      <c r="S90" s="2" t="s">
        <v>561</v>
      </c>
      <c r="T90" s="6"/>
      <c r="U90" s="6"/>
      <c r="V90" s="6"/>
      <c r="W90" s="6" t="s">
        <v>33</v>
      </c>
    </row>
    <row r="91" spans="1:23" ht="328" x14ac:dyDescent="0.2">
      <c r="A91" s="2" t="s">
        <v>562</v>
      </c>
      <c r="B91" s="3" t="s">
        <v>51</v>
      </c>
      <c r="C91" s="4">
        <v>2.060185185185185E-2</v>
      </c>
      <c r="D91" s="4">
        <v>2.0833333333333332E-2</v>
      </c>
      <c r="E91" s="5">
        <f t="shared" si="2"/>
        <v>20</v>
      </c>
      <c r="F91" s="2" t="str">
        <f t="shared" si="3"/>
        <v>בטווח 15–20</v>
      </c>
      <c r="G91" s="2" t="s">
        <v>563</v>
      </c>
      <c r="H91" s="2" t="s">
        <v>564</v>
      </c>
      <c r="I91" s="2" t="s">
        <v>565</v>
      </c>
      <c r="J91" s="2" t="s">
        <v>28</v>
      </c>
      <c r="K91" s="2" t="s">
        <v>566</v>
      </c>
      <c r="L91" s="2" t="s">
        <v>29</v>
      </c>
      <c r="M91" s="2"/>
      <c r="N91" s="2" t="s">
        <v>30</v>
      </c>
      <c r="O91" s="2" t="s">
        <v>31</v>
      </c>
      <c r="P91" s="2"/>
      <c r="Q91" s="2"/>
      <c r="R91" s="2" t="s">
        <v>560</v>
      </c>
      <c r="S91" s="2" t="s">
        <v>567</v>
      </c>
      <c r="T91" s="6"/>
      <c r="U91" s="6"/>
      <c r="V91" s="6"/>
      <c r="W91" s="6" t="s">
        <v>33</v>
      </c>
    </row>
    <row r="92" spans="1:23" ht="328" x14ac:dyDescent="0.2">
      <c r="A92" s="2" t="s">
        <v>568</v>
      </c>
      <c r="B92" s="3" t="s">
        <v>51</v>
      </c>
      <c r="C92" s="4">
        <v>2.0833333333333332E-2</v>
      </c>
      <c r="D92" s="4">
        <v>2.1064814814814814E-2</v>
      </c>
      <c r="E92" s="5">
        <f t="shared" si="2"/>
        <v>20</v>
      </c>
      <c r="F92" s="2" t="str">
        <f t="shared" si="3"/>
        <v>בטווח 15–20</v>
      </c>
      <c r="G92" s="2" t="s">
        <v>569</v>
      </c>
      <c r="H92" s="2" t="s">
        <v>570</v>
      </c>
      <c r="I92" s="2" t="s">
        <v>571</v>
      </c>
      <c r="J92" s="2" t="s">
        <v>86</v>
      </c>
      <c r="K92" s="2"/>
      <c r="L92" s="2" t="s">
        <v>29</v>
      </c>
      <c r="M92" s="2"/>
      <c r="N92" s="2" t="s">
        <v>30</v>
      </c>
      <c r="O92" s="2" t="s">
        <v>31</v>
      </c>
      <c r="P92" s="2"/>
      <c r="Q92" s="2"/>
      <c r="R92" s="2" t="s">
        <v>560</v>
      </c>
      <c r="S92" s="2" t="s">
        <v>572</v>
      </c>
      <c r="T92" s="6"/>
      <c r="U92" s="6"/>
      <c r="V92" s="6"/>
      <c r="W92" s="6" t="s">
        <v>33</v>
      </c>
    </row>
    <row r="93" spans="1:23" ht="300" x14ac:dyDescent="0.2">
      <c r="A93" s="2" t="s">
        <v>573</v>
      </c>
      <c r="B93" s="3" t="s">
        <v>51</v>
      </c>
      <c r="C93" s="4">
        <v>2.1064814814814814E-2</v>
      </c>
      <c r="D93" s="4">
        <v>2.1296296296296296E-2</v>
      </c>
      <c r="E93" s="5">
        <f t="shared" si="2"/>
        <v>20</v>
      </c>
      <c r="F93" s="2" t="str">
        <f t="shared" si="3"/>
        <v>בטווח 15–20</v>
      </c>
      <c r="G93" s="2" t="s">
        <v>574</v>
      </c>
      <c r="H93" s="2" t="s">
        <v>575</v>
      </c>
      <c r="I93" s="2" t="s">
        <v>576</v>
      </c>
      <c r="J93" s="2" t="s">
        <v>28</v>
      </c>
      <c r="K93" s="2" t="s">
        <v>577</v>
      </c>
      <c r="L93" s="2" t="s">
        <v>29</v>
      </c>
      <c r="M93" s="2"/>
      <c r="N93" s="2" t="s">
        <v>30</v>
      </c>
      <c r="O93" s="2" t="s">
        <v>578</v>
      </c>
      <c r="P93" s="2" t="s">
        <v>579</v>
      </c>
      <c r="Q93" s="2"/>
      <c r="R93" s="2" t="s">
        <v>560</v>
      </c>
      <c r="S93" s="2" t="s">
        <v>580</v>
      </c>
      <c r="T93" s="6"/>
      <c r="U93" s="6"/>
      <c r="V93" s="6"/>
      <c r="W93" s="6" t="s">
        <v>33</v>
      </c>
    </row>
    <row r="94" spans="1:23" ht="300" x14ac:dyDescent="0.2">
      <c r="A94" s="2" t="s">
        <v>581</v>
      </c>
      <c r="B94" s="3" t="s">
        <v>51</v>
      </c>
      <c r="C94" s="4">
        <v>2.1296296296296296E-2</v>
      </c>
      <c r="D94" s="4">
        <v>2.1527777777777778E-2</v>
      </c>
      <c r="E94" s="5">
        <f t="shared" si="2"/>
        <v>20</v>
      </c>
      <c r="F94" s="2" t="str">
        <f t="shared" si="3"/>
        <v>בטווח 15–20</v>
      </c>
      <c r="G94" s="2" t="s">
        <v>582</v>
      </c>
      <c r="H94" s="2" t="s">
        <v>583</v>
      </c>
      <c r="I94" s="2" t="s">
        <v>584</v>
      </c>
      <c r="J94" s="2" t="s">
        <v>28</v>
      </c>
      <c r="K94" s="2"/>
      <c r="L94" s="2" t="s">
        <v>29</v>
      </c>
      <c r="M94" s="2"/>
      <c r="N94" s="2" t="s">
        <v>30</v>
      </c>
      <c r="O94" s="2" t="s">
        <v>31</v>
      </c>
      <c r="P94" s="2"/>
      <c r="Q94" s="2"/>
      <c r="R94" s="2" t="s">
        <v>560</v>
      </c>
      <c r="S94" s="2" t="s">
        <v>585</v>
      </c>
      <c r="T94" s="6"/>
      <c r="U94" s="6"/>
      <c r="V94" s="6"/>
      <c r="W94" s="6" t="s">
        <v>33</v>
      </c>
    </row>
    <row r="95" spans="1:23" ht="342" x14ac:dyDescent="0.2">
      <c r="A95" s="2" t="s">
        <v>586</v>
      </c>
      <c r="B95" s="3" t="s">
        <v>51</v>
      </c>
      <c r="C95" s="4">
        <v>2.1527777777777778E-2</v>
      </c>
      <c r="D95" s="4">
        <v>2.1759259259259259E-2</v>
      </c>
      <c r="E95" s="5">
        <f t="shared" si="2"/>
        <v>20</v>
      </c>
      <c r="F95" s="2" t="str">
        <f t="shared" si="3"/>
        <v>בטווח 15–20</v>
      </c>
      <c r="G95" s="2" t="s">
        <v>587</v>
      </c>
      <c r="H95" s="2" t="s">
        <v>588</v>
      </c>
      <c r="I95" s="2" t="s">
        <v>589</v>
      </c>
      <c r="J95" s="2" t="s">
        <v>86</v>
      </c>
      <c r="K95" s="2"/>
      <c r="L95" s="2" t="s">
        <v>29</v>
      </c>
      <c r="M95" s="2"/>
      <c r="N95" s="2" t="s">
        <v>30</v>
      </c>
      <c r="O95" s="2" t="s">
        <v>31</v>
      </c>
      <c r="P95" s="2"/>
      <c r="Q95" s="2"/>
      <c r="R95" s="2"/>
      <c r="S95" s="2" t="s">
        <v>590</v>
      </c>
      <c r="T95" s="6"/>
      <c r="U95" s="6"/>
      <c r="V95" s="6"/>
      <c r="W95" s="6" t="s">
        <v>33</v>
      </c>
    </row>
    <row r="96" spans="1:23" ht="285" x14ac:dyDescent="0.2">
      <c r="A96" s="2" t="s">
        <v>591</v>
      </c>
      <c r="B96" s="3" t="s">
        <v>24</v>
      </c>
      <c r="C96" s="4">
        <v>2.1759259259259259E-2</v>
      </c>
      <c r="D96" s="4">
        <v>2.1990740740740741E-2</v>
      </c>
      <c r="E96" s="5">
        <f t="shared" si="2"/>
        <v>20</v>
      </c>
      <c r="F96" s="2" t="str">
        <f t="shared" si="3"/>
        <v>בטווח 15–20</v>
      </c>
      <c r="G96" s="2" t="s">
        <v>592</v>
      </c>
      <c r="H96" s="2" t="s">
        <v>593</v>
      </c>
      <c r="I96" s="2" t="s">
        <v>594</v>
      </c>
      <c r="J96" s="2" t="s">
        <v>28</v>
      </c>
      <c r="K96" s="2"/>
      <c r="L96" s="2" t="s">
        <v>29</v>
      </c>
      <c r="M96" s="2"/>
      <c r="N96" s="2" t="s">
        <v>30</v>
      </c>
      <c r="O96" s="2" t="s">
        <v>31</v>
      </c>
      <c r="P96" s="2"/>
      <c r="Q96" s="2"/>
      <c r="R96" s="2"/>
      <c r="S96" s="2" t="s">
        <v>595</v>
      </c>
      <c r="T96" s="6"/>
      <c r="U96" s="6"/>
      <c r="V96" s="6"/>
      <c r="W96" s="6" t="s">
        <v>33</v>
      </c>
    </row>
    <row r="97" spans="1:23" ht="285" x14ac:dyDescent="0.2">
      <c r="A97" s="2" t="s">
        <v>596</v>
      </c>
      <c r="B97" s="3" t="s">
        <v>24</v>
      </c>
      <c r="C97" s="4">
        <v>2.1990740740740741E-2</v>
      </c>
      <c r="D97" s="4">
        <v>2.2222222222222223E-2</v>
      </c>
      <c r="E97" s="5">
        <f t="shared" si="2"/>
        <v>20</v>
      </c>
      <c r="F97" s="2" t="str">
        <f t="shared" si="3"/>
        <v>בטווח 15–20</v>
      </c>
      <c r="G97" s="2" t="s">
        <v>597</v>
      </c>
      <c r="H97" s="2" t="s">
        <v>598</v>
      </c>
      <c r="I97" s="2" t="s">
        <v>599</v>
      </c>
      <c r="J97" s="2" t="s">
        <v>86</v>
      </c>
      <c r="K97" s="2"/>
      <c r="L97" s="2" t="s">
        <v>29</v>
      </c>
      <c r="M97" s="2"/>
      <c r="N97" s="2" t="s">
        <v>30</v>
      </c>
      <c r="O97" s="2" t="s">
        <v>31</v>
      </c>
      <c r="P97" s="2"/>
      <c r="Q97" s="2"/>
      <c r="R97" s="2"/>
      <c r="S97" s="2" t="s">
        <v>600</v>
      </c>
      <c r="T97" s="6"/>
      <c r="U97" s="6"/>
      <c r="V97" s="6"/>
      <c r="W97" s="6" t="s">
        <v>33</v>
      </c>
    </row>
    <row r="98" spans="1:23" ht="314" x14ac:dyDescent="0.2">
      <c r="A98" s="2" t="s">
        <v>601</v>
      </c>
      <c r="B98" s="3" t="s">
        <v>51</v>
      </c>
      <c r="C98" s="4">
        <v>2.2222222222222223E-2</v>
      </c>
      <c r="D98" s="4">
        <v>2.2453703703703705E-2</v>
      </c>
      <c r="E98" s="5">
        <f t="shared" si="2"/>
        <v>20</v>
      </c>
      <c r="F98" s="2" t="str">
        <f t="shared" si="3"/>
        <v>בטווח 15–20</v>
      </c>
      <c r="G98" s="2" t="s">
        <v>602</v>
      </c>
      <c r="H98" s="2" t="s">
        <v>603</v>
      </c>
      <c r="I98" s="2" t="s">
        <v>604</v>
      </c>
      <c r="J98" s="2" t="s">
        <v>86</v>
      </c>
      <c r="K98" s="2"/>
      <c r="L98" s="2" t="s">
        <v>29</v>
      </c>
      <c r="M98" s="2"/>
      <c r="N98" s="2" t="s">
        <v>30</v>
      </c>
      <c r="O98" s="2" t="s">
        <v>31</v>
      </c>
      <c r="P98" s="2"/>
      <c r="Q98" s="2"/>
      <c r="R98" s="2"/>
      <c r="S98" s="2" t="s">
        <v>605</v>
      </c>
      <c r="T98" s="6"/>
      <c r="U98" s="6"/>
      <c r="V98" s="6"/>
      <c r="W98" s="6" t="s">
        <v>33</v>
      </c>
    </row>
    <row r="99" spans="1:23" ht="314" x14ac:dyDescent="0.2">
      <c r="A99" s="2" t="s">
        <v>606</v>
      </c>
      <c r="B99" s="3" t="s">
        <v>24</v>
      </c>
      <c r="C99" s="4">
        <v>2.2453703703703705E-2</v>
      </c>
      <c r="D99" s="4">
        <v>2.2685185185185187E-2</v>
      </c>
      <c r="E99" s="5">
        <f t="shared" si="2"/>
        <v>20</v>
      </c>
      <c r="F99" s="2" t="str">
        <f t="shared" si="3"/>
        <v>בטווח 15–20</v>
      </c>
      <c r="G99" s="2" t="s">
        <v>607</v>
      </c>
      <c r="H99" s="2" t="s">
        <v>608</v>
      </c>
      <c r="I99" s="2" t="s">
        <v>609</v>
      </c>
      <c r="J99" s="2" t="s">
        <v>38</v>
      </c>
      <c r="K99" s="2"/>
      <c r="L99" s="2" t="s">
        <v>29</v>
      </c>
      <c r="M99" s="2"/>
      <c r="N99" s="2" t="s">
        <v>30</v>
      </c>
      <c r="O99" s="2" t="s">
        <v>31</v>
      </c>
      <c r="P99" s="2"/>
      <c r="Q99" s="2"/>
      <c r="R99" s="2"/>
      <c r="S99" s="2" t="s">
        <v>610</v>
      </c>
      <c r="T99" s="6"/>
      <c r="U99" s="6"/>
      <c r="V99" s="6"/>
      <c r="W99" s="6" t="s">
        <v>33</v>
      </c>
    </row>
    <row r="100" spans="1:23" ht="270" x14ac:dyDescent="0.2">
      <c r="A100" s="2" t="s">
        <v>611</v>
      </c>
      <c r="B100" s="3" t="s">
        <v>24</v>
      </c>
      <c r="C100" s="4">
        <v>2.2685185185185187E-2</v>
      </c>
      <c r="D100" s="4">
        <v>2.2916666666666665E-2</v>
      </c>
      <c r="E100" s="5">
        <f t="shared" si="2"/>
        <v>20</v>
      </c>
      <c r="F100" s="2" t="str">
        <f t="shared" si="3"/>
        <v>בטווח 15–20</v>
      </c>
      <c r="G100" s="2" t="s">
        <v>612</v>
      </c>
      <c r="H100" s="2" t="s">
        <v>613</v>
      </c>
      <c r="I100" s="2" t="s">
        <v>614</v>
      </c>
      <c r="J100" s="2" t="s">
        <v>38</v>
      </c>
      <c r="K100" s="2"/>
      <c r="L100" s="2" t="s">
        <v>29</v>
      </c>
      <c r="M100" s="2"/>
      <c r="N100" s="2" t="s">
        <v>30</v>
      </c>
      <c r="O100" s="2" t="s">
        <v>31</v>
      </c>
      <c r="P100" s="2"/>
      <c r="Q100" s="2"/>
      <c r="R100" s="2"/>
      <c r="S100" s="2" t="s">
        <v>615</v>
      </c>
      <c r="T100" s="6"/>
      <c r="U100" s="6"/>
      <c r="V100" s="6"/>
      <c r="W100" s="6" t="s">
        <v>33</v>
      </c>
    </row>
    <row r="101" spans="1:23" ht="342" x14ac:dyDescent="0.2">
      <c r="A101" s="2" t="s">
        <v>616</v>
      </c>
      <c r="B101" s="3" t="s">
        <v>51</v>
      </c>
      <c r="C101" s="4">
        <v>2.2916666666666665E-2</v>
      </c>
      <c r="D101" s="4">
        <v>2.3148148148148147E-2</v>
      </c>
      <c r="E101" s="5">
        <f t="shared" si="2"/>
        <v>20</v>
      </c>
      <c r="F101" s="2" t="str">
        <f t="shared" si="3"/>
        <v>בטווח 15–20</v>
      </c>
      <c r="G101" s="2" t="s">
        <v>617</v>
      </c>
      <c r="H101" s="2" t="s">
        <v>618</v>
      </c>
      <c r="I101" s="2" t="s">
        <v>619</v>
      </c>
      <c r="J101" s="2" t="s">
        <v>38</v>
      </c>
      <c r="K101" s="2"/>
      <c r="L101" s="2" t="s">
        <v>29</v>
      </c>
      <c r="M101" s="2"/>
      <c r="N101" s="2" t="s">
        <v>30</v>
      </c>
      <c r="O101" s="2" t="s">
        <v>31</v>
      </c>
      <c r="P101" s="2"/>
      <c r="Q101" s="2"/>
      <c r="R101" s="2"/>
      <c r="S101" s="2" t="s">
        <v>620</v>
      </c>
      <c r="T101" s="6"/>
      <c r="U101" s="6"/>
      <c r="V101" s="6"/>
      <c r="W101" s="6" t="s">
        <v>33</v>
      </c>
    </row>
    <row r="102" spans="1:23" ht="195" x14ac:dyDescent="0.2">
      <c r="A102" s="2" t="s">
        <v>621</v>
      </c>
      <c r="B102" s="3" t="s">
        <v>51</v>
      </c>
      <c r="C102" s="4">
        <v>2.3148148148148147E-2</v>
      </c>
      <c r="D102" s="4">
        <v>2.3379629629629629E-2</v>
      </c>
      <c r="E102" s="5">
        <f t="shared" si="2"/>
        <v>20</v>
      </c>
      <c r="F102" s="2" t="str">
        <f t="shared" si="3"/>
        <v>בטווח 15–20</v>
      </c>
      <c r="G102" s="2" t="s">
        <v>622</v>
      </c>
      <c r="H102" s="2" t="s">
        <v>623</v>
      </c>
      <c r="I102" s="2" t="s">
        <v>624</v>
      </c>
      <c r="J102" s="2" t="s">
        <v>38</v>
      </c>
      <c r="K102" s="2"/>
      <c r="L102" s="2" t="s">
        <v>29</v>
      </c>
      <c r="M102" s="2"/>
      <c r="N102" s="2" t="s">
        <v>30</v>
      </c>
      <c r="O102" s="2" t="s">
        <v>31</v>
      </c>
      <c r="P102" s="2"/>
      <c r="Q102" s="2" t="s">
        <v>625</v>
      </c>
      <c r="R102" s="2"/>
      <c r="S102" s="2" t="s">
        <v>626</v>
      </c>
      <c r="T102" s="6"/>
      <c r="U102" s="6"/>
      <c r="V102" s="6"/>
      <c r="W102" s="6" t="s">
        <v>33</v>
      </c>
    </row>
    <row r="103" spans="1:23" ht="328" x14ac:dyDescent="0.2">
      <c r="A103" s="2" t="s">
        <v>627</v>
      </c>
      <c r="B103" s="3" t="s">
        <v>51</v>
      </c>
      <c r="C103" s="4">
        <v>2.3379629629629629E-2</v>
      </c>
      <c r="D103" s="4">
        <v>2.361111111111111E-2</v>
      </c>
      <c r="E103" s="5">
        <f t="shared" si="2"/>
        <v>20</v>
      </c>
      <c r="F103" s="2" t="str">
        <f t="shared" si="3"/>
        <v>בטווח 15–20</v>
      </c>
      <c r="G103" s="2" t="s">
        <v>628</v>
      </c>
      <c r="H103" s="2" t="s">
        <v>629</v>
      </c>
      <c r="I103" s="2" t="s">
        <v>630</v>
      </c>
      <c r="J103" s="2" t="s">
        <v>38</v>
      </c>
      <c r="K103" s="2"/>
      <c r="L103" s="2" t="s">
        <v>29</v>
      </c>
      <c r="M103" s="2"/>
      <c r="N103" s="2" t="s">
        <v>30</v>
      </c>
      <c r="O103" s="2" t="s">
        <v>31</v>
      </c>
      <c r="P103" s="2"/>
      <c r="Q103" s="2"/>
      <c r="R103" s="2"/>
      <c r="S103" s="2" t="s">
        <v>631</v>
      </c>
      <c r="T103" s="6"/>
      <c r="U103" s="6"/>
      <c r="V103" s="6"/>
      <c r="W103" s="6" t="s">
        <v>33</v>
      </c>
    </row>
    <row r="104" spans="1:23" ht="195" x14ac:dyDescent="0.2">
      <c r="A104" s="2" t="s">
        <v>632</v>
      </c>
      <c r="B104" s="3" t="s">
        <v>51</v>
      </c>
      <c r="C104" s="4">
        <v>2.361111111111111E-2</v>
      </c>
      <c r="D104" s="4">
        <v>2.3842592592592592E-2</v>
      </c>
      <c r="E104" s="5">
        <f t="shared" si="2"/>
        <v>20</v>
      </c>
      <c r="F104" s="2" t="str">
        <f t="shared" si="3"/>
        <v>בטווח 15–20</v>
      </c>
      <c r="G104" s="2" t="s">
        <v>633</v>
      </c>
      <c r="H104" s="2" t="s">
        <v>634</v>
      </c>
      <c r="I104" s="2" t="s">
        <v>635</v>
      </c>
      <c r="J104" s="2" t="s">
        <v>28</v>
      </c>
      <c r="K104" s="2"/>
      <c r="L104" s="2" t="s">
        <v>29</v>
      </c>
      <c r="M104" s="2"/>
      <c r="N104" s="2" t="s">
        <v>30</v>
      </c>
      <c r="O104" s="2" t="s">
        <v>31</v>
      </c>
      <c r="P104" s="2"/>
      <c r="Q104" s="2" t="s">
        <v>636</v>
      </c>
      <c r="R104" s="2"/>
      <c r="S104" s="2" t="s">
        <v>637</v>
      </c>
      <c r="T104" s="6"/>
      <c r="U104" s="6"/>
      <c r="V104" s="6"/>
      <c r="W104" s="6" t="s">
        <v>33</v>
      </c>
    </row>
    <row r="105" spans="1:23" ht="409.6" x14ac:dyDescent="0.2">
      <c r="A105" s="2" t="s">
        <v>638</v>
      </c>
      <c r="B105" s="3" t="s">
        <v>57</v>
      </c>
      <c r="C105" s="4">
        <v>2.3842592592592592E-2</v>
      </c>
      <c r="D105" s="4">
        <v>2.4074074074074074E-2</v>
      </c>
      <c r="E105" s="5">
        <f t="shared" si="2"/>
        <v>20</v>
      </c>
      <c r="F105" s="2" t="str">
        <f t="shared" si="3"/>
        <v>בטווח 15–20</v>
      </c>
      <c r="G105" s="2" t="s">
        <v>639</v>
      </c>
      <c r="H105" s="2" t="s">
        <v>640</v>
      </c>
      <c r="I105" s="2" t="s">
        <v>641</v>
      </c>
      <c r="J105" s="2" t="s">
        <v>28</v>
      </c>
      <c r="K105" s="2" t="s">
        <v>642</v>
      </c>
      <c r="L105" s="2" t="s">
        <v>643</v>
      </c>
      <c r="M105" s="2" t="s">
        <v>644</v>
      </c>
      <c r="N105" s="2" t="s">
        <v>314</v>
      </c>
      <c r="O105" s="2" t="s">
        <v>31</v>
      </c>
      <c r="P105" s="2" t="s">
        <v>645</v>
      </c>
      <c r="Q105" s="2" t="s">
        <v>646</v>
      </c>
      <c r="R105" s="2" t="s">
        <v>647</v>
      </c>
      <c r="S105" s="2" t="s">
        <v>648</v>
      </c>
      <c r="T105" s="6"/>
      <c r="U105" s="6"/>
      <c r="V105" s="6"/>
      <c r="W105" s="6" t="s">
        <v>33</v>
      </c>
    </row>
    <row r="106" spans="1:23" ht="384" x14ac:dyDescent="0.2">
      <c r="A106" s="2" t="s">
        <v>649</v>
      </c>
      <c r="B106" s="3" t="s">
        <v>57</v>
      </c>
      <c r="C106" s="4">
        <v>2.4074074074074074E-2</v>
      </c>
      <c r="D106" s="4">
        <v>2.4305555555555556E-2</v>
      </c>
      <c r="E106" s="5">
        <f t="shared" si="2"/>
        <v>20</v>
      </c>
      <c r="F106" s="2" t="str">
        <f t="shared" si="3"/>
        <v>בטווח 15–20</v>
      </c>
      <c r="G106" s="2" t="s">
        <v>650</v>
      </c>
      <c r="H106" s="2" t="s">
        <v>651</v>
      </c>
      <c r="I106" s="2" t="s">
        <v>652</v>
      </c>
      <c r="J106" s="2" t="s">
        <v>28</v>
      </c>
      <c r="K106" s="2" t="s">
        <v>653</v>
      </c>
      <c r="L106" s="2" t="s">
        <v>654</v>
      </c>
      <c r="M106" s="2" t="s">
        <v>655</v>
      </c>
      <c r="N106" s="2" t="s">
        <v>64</v>
      </c>
      <c r="O106" s="2" t="s">
        <v>31</v>
      </c>
      <c r="P106" s="2" t="s">
        <v>656</v>
      </c>
      <c r="Q106" s="2" t="s">
        <v>625</v>
      </c>
      <c r="R106" s="2" t="s">
        <v>647</v>
      </c>
      <c r="S106" s="2" t="s">
        <v>657</v>
      </c>
      <c r="T106" s="6"/>
      <c r="U106" s="6"/>
      <c r="V106" s="6"/>
      <c r="W106" s="6" t="s">
        <v>33</v>
      </c>
    </row>
    <row r="107" spans="1:23" ht="409.6" x14ac:dyDescent="0.2">
      <c r="A107" s="2" t="s">
        <v>658</v>
      </c>
      <c r="B107" s="3" t="s">
        <v>51</v>
      </c>
      <c r="C107" s="4">
        <v>2.4305555555555556E-2</v>
      </c>
      <c r="D107" s="4">
        <v>2.4537037037037038E-2</v>
      </c>
      <c r="E107" s="5">
        <f t="shared" si="2"/>
        <v>20</v>
      </c>
      <c r="F107" s="2" t="str">
        <f t="shared" si="3"/>
        <v>בטווח 15–20</v>
      </c>
      <c r="G107" s="2" t="s">
        <v>659</v>
      </c>
      <c r="H107" s="2" t="s">
        <v>660</v>
      </c>
      <c r="I107" s="2" t="s">
        <v>661</v>
      </c>
      <c r="J107" s="2" t="s">
        <v>38</v>
      </c>
      <c r="K107" s="2" t="s">
        <v>662</v>
      </c>
      <c r="L107" s="2" t="s">
        <v>29</v>
      </c>
      <c r="M107" s="2"/>
      <c r="N107" s="2" t="s">
        <v>30</v>
      </c>
      <c r="O107" s="2" t="s">
        <v>281</v>
      </c>
      <c r="P107" s="2"/>
      <c r="Q107" s="2"/>
      <c r="R107" s="2" t="s">
        <v>663</v>
      </c>
      <c r="S107" s="2" t="s">
        <v>664</v>
      </c>
      <c r="T107" s="6"/>
      <c r="U107" s="6"/>
      <c r="V107" s="6"/>
      <c r="W107" s="6" t="s">
        <v>33</v>
      </c>
    </row>
    <row r="108" spans="1:23" ht="370" x14ac:dyDescent="0.2">
      <c r="A108" s="2" t="s">
        <v>665</v>
      </c>
      <c r="B108" s="3" t="s">
        <v>57</v>
      </c>
      <c r="C108" s="4">
        <v>2.4537037037037038E-2</v>
      </c>
      <c r="D108" s="4">
        <v>2.476851851851852E-2</v>
      </c>
      <c r="E108" s="5">
        <f t="shared" si="2"/>
        <v>20</v>
      </c>
      <c r="F108" s="2" t="str">
        <f t="shared" si="3"/>
        <v>בטווח 15–20</v>
      </c>
      <c r="G108" s="2" t="s">
        <v>666</v>
      </c>
      <c r="H108" s="2" t="s">
        <v>667</v>
      </c>
      <c r="I108" s="2" t="s">
        <v>668</v>
      </c>
      <c r="J108" s="2" t="s">
        <v>38</v>
      </c>
      <c r="K108" s="2" t="s">
        <v>669</v>
      </c>
      <c r="L108" s="2" t="s">
        <v>670</v>
      </c>
      <c r="M108" s="2" t="s">
        <v>671</v>
      </c>
      <c r="N108" s="2" t="s">
        <v>157</v>
      </c>
      <c r="O108" s="2" t="s">
        <v>31</v>
      </c>
      <c r="P108" s="2" t="s">
        <v>672</v>
      </c>
      <c r="Q108" s="2" t="s">
        <v>673</v>
      </c>
      <c r="R108" s="2" t="s">
        <v>674</v>
      </c>
      <c r="S108" s="2" t="s">
        <v>675</v>
      </c>
      <c r="T108" s="6"/>
      <c r="U108" s="6"/>
      <c r="V108" s="6"/>
      <c r="W108" s="6" t="s">
        <v>33</v>
      </c>
    </row>
    <row r="109" spans="1:23" ht="314" x14ac:dyDescent="0.2">
      <c r="A109" s="2" t="s">
        <v>676</v>
      </c>
      <c r="B109" s="3" t="s">
        <v>24</v>
      </c>
      <c r="C109" s="4">
        <v>2.476851851851852E-2</v>
      </c>
      <c r="D109" s="4">
        <v>2.5000000000000001E-2</v>
      </c>
      <c r="E109" s="5">
        <f t="shared" si="2"/>
        <v>20</v>
      </c>
      <c r="F109" s="2" t="str">
        <f t="shared" si="3"/>
        <v>בטווח 15–20</v>
      </c>
      <c r="G109" s="2" t="s">
        <v>677</v>
      </c>
      <c r="H109" s="2" t="s">
        <v>678</v>
      </c>
      <c r="I109" s="2" t="s">
        <v>679</v>
      </c>
      <c r="J109" s="2" t="s">
        <v>28</v>
      </c>
      <c r="K109" s="2" t="s">
        <v>680</v>
      </c>
      <c r="L109" s="2" t="s">
        <v>29</v>
      </c>
      <c r="M109" s="2"/>
      <c r="N109" s="2" t="s">
        <v>30</v>
      </c>
      <c r="O109" s="2" t="s">
        <v>281</v>
      </c>
      <c r="P109" s="2"/>
      <c r="Q109" s="2" t="s">
        <v>681</v>
      </c>
      <c r="R109" s="2" t="s">
        <v>682</v>
      </c>
      <c r="S109" s="2" t="s">
        <v>683</v>
      </c>
      <c r="T109" s="6"/>
      <c r="U109" s="6"/>
      <c r="V109" s="6"/>
      <c r="W109" s="6" t="s">
        <v>33</v>
      </c>
    </row>
    <row r="110" spans="1:23" ht="370" x14ac:dyDescent="0.2">
      <c r="A110" s="2" t="s">
        <v>684</v>
      </c>
      <c r="B110" s="3" t="s">
        <v>57</v>
      </c>
      <c r="C110" s="4">
        <v>2.5000000000000001E-2</v>
      </c>
      <c r="D110" s="4">
        <v>2.5231481481481483E-2</v>
      </c>
      <c r="E110" s="5">
        <f t="shared" si="2"/>
        <v>20</v>
      </c>
      <c r="F110" s="2" t="str">
        <f t="shared" si="3"/>
        <v>בטווח 15–20</v>
      </c>
      <c r="G110" s="2" t="s">
        <v>685</v>
      </c>
      <c r="H110" s="2" t="s">
        <v>686</v>
      </c>
      <c r="I110" s="2" t="s">
        <v>687</v>
      </c>
      <c r="J110" s="2" t="s">
        <v>38</v>
      </c>
      <c r="K110" s="2" t="s">
        <v>688</v>
      </c>
      <c r="L110" s="2" t="s">
        <v>689</v>
      </c>
      <c r="M110" s="2" t="s">
        <v>690</v>
      </c>
      <c r="N110" s="2" t="s">
        <v>157</v>
      </c>
      <c r="O110" s="2" t="s">
        <v>31</v>
      </c>
      <c r="P110" s="2" t="s">
        <v>691</v>
      </c>
      <c r="Q110" s="2" t="s">
        <v>692</v>
      </c>
      <c r="R110" s="2" t="s">
        <v>682</v>
      </c>
      <c r="S110" s="2" t="s">
        <v>693</v>
      </c>
      <c r="T110" s="6"/>
      <c r="U110" s="6"/>
      <c r="V110" s="6"/>
      <c r="W110" s="6" t="s">
        <v>33</v>
      </c>
    </row>
    <row r="111" spans="1:23" ht="240" x14ac:dyDescent="0.2">
      <c r="A111" s="2" t="s">
        <v>694</v>
      </c>
      <c r="B111" s="3" t="s">
        <v>51</v>
      </c>
      <c r="C111" s="4">
        <v>2.5231481481481483E-2</v>
      </c>
      <c r="D111" s="4">
        <v>2.5462962962962962E-2</v>
      </c>
      <c r="E111" s="5">
        <f t="shared" si="2"/>
        <v>20</v>
      </c>
      <c r="F111" s="2" t="str">
        <f t="shared" si="3"/>
        <v>בטווח 15–20</v>
      </c>
      <c r="G111" s="2" t="s">
        <v>695</v>
      </c>
      <c r="H111" s="2" t="s">
        <v>696</v>
      </c>
      <c r="I111" s="2" t="s">
        <v>697</v>
      </c>
      <c r="J111" s="2" t="s">
        <v>28</v>
      </c>
      <c r="K111" s="2"/>
      <c r="L111" s="2" t="s">
        <v>29</v>
      </c>
      <c r="M111" s="2"/>
      <c r="N111" s="2" t="s">
        <v>30</v>
      </c>
      <c r="O111" s="2" t="s">
        <v>31</v>
      </c>
      <c r="P111" s="2"/>
      <c r="Q111" s="2" t="s">
        <v>692</v>
      </c>
      <c r="R111" s="2" t="s">
        <v>698</v>
      </c>
      <c r="S111" s="2" t="s">
        <v>699</v>
      </c>
      <c r="T111" s="6"/>
      <c r="U111" s="6"/>
      <c r="V111" s="6"/>
      <c r="W111" s="6" t="s">
        <v>33</v>
      </c>
    </row>
    <row r="112" spans="1:23" ht="225" x14ac:dyDescent="0.2">
      <c r="A112" s="2" t="s">
        <v>700</v>
      </c>
      <c r="B112" s="3" t="s">
        <v>51</v>
      </c>
      <c r="C112" s="4">
        <v>2.5462962962962962E-2</v>
      </c>
      <c r="D112" s="4">
        <v>2.5694444444444443E-2</v>
      </c>
      <c r="E112" s="5">
        <f t="shared" si="2"/>
        <v>20</v>
      </c>
      <c r="F112" s="2" t="str">
        <f t="shared" si="3"/>
        <v>בטווח 15–20</v>
      </c>
      <c r="G112" s="2" t="s">
        <v>701</v>
      </c>
      <c r="H112" s="2" t="s">
        <v>702</v>
      </c>
      <c r="I112" s="2" t="s">
        <v>703</v>
      </c>
      <c r="J112" s="2" t="s">
        <v>28</v>
      </c>
      <c r="K112" s="2" t="s">
        <v>704</v>
      </c>
      <c r="L112" s="2" t="s">
        <v>29</v>
      </c>
      <c r="M112" s="2"/>
      <c r="N112" s="2" t="s">
        <v>30</v>
      </c>
      <c r="O112" s="2" t="s">
        <v>31</v>
      </c>
      <c r="P112" s="2"/>
      <c r="Q112" s="2"/>
      <c r="R112" s="2" t="s">
        <v>698</v>
      </c>
      <c r="S112" s="2" t="s">
        <v>705</v>
      </c>
      <c r="T112" s="6"/>
      <c r="U112" s="6"/>
      <c r="V112" s="6"/>
      <c r="W112" s="6" t="s">
        <v>33</v>
      </c>
    </row>
    <row r="113" spans="1:23" ht="300" x14ac:dyDescent="0.2">
      <c r="A113" s="2" t="s">
        <v>706</v>
      </c>
      <c r="B113" s="3" t="s">
        <v>51</v>
      </c>
      <c r="C113" s="4">
        <v>2.5694444444444443E-2</v>
      </c>
      <c r="D113" s="4">
        <v>2.5925925925925925E-2</v>
      </c>
      <c r="E113" s="5">
        <f t="shared" si="2"/>
        <v>20</v>
      </c>
      <c r="F113" s="2" t="str">
        <f t="shared" si="3"/>
        <v>בטווח 15–20</v>
      </c>
      <c r="G113" s="2" t="s">
        <v>707</v>
      </c>
      <c r="H113" s="2" t="s">
        <v>708</v>
      </c>
      <c r="I113" s="2" t="s">
        <v>709</v>
      </c>
      <c r="J113" s="2" t="s">
        <v>28</v>
      </c>
      <c r="K113" s="2" t="s">
        <v>710</v>
      </c>
      <c r="L113" s="2" t="s">
        <v>29</v>
      </c>
      <c r="M113" s="2"/>
      <c r="N113" s="2" t="s">
        <v>30</v>
      </c>
      <c r="O113" s="2" t="s">
        <v>31</v>
      </c>
      <c r="P113" s="2"/>
      <c r="Q113" s="2"/>
      <c r="R113" s="2" t="s">
        <v>698</v>
      </c>
      <c r="S113" s="2" t="s">
        <v>711</v>
      </c>
      <c r="T113" s="6"/>
      <c r="U113" s="6"/>
      <c r="V113" s="6"/>
      <c r="W113" s="6" t="s">
        <v>33</v>
      </c>
    </row>
    <row r="114" spans="1:23" ht="255" x14ac:dyDescent="0.2">
      <c r="A114" s="2" t="s">
        <v>712</v>
      </c>
      <c r="B114" s="3" t="s">
        <v>51</v>
      </c>
      <c r="C114" s="4">
        <v>2.5925925925925925E-2</v>
      </c>
      <c r="D114" s="4">
        <v>2.6157407407407407E-2</v>
      </c>
      <c r="E114" s="5">
        <f t="shared" si="2"/>
        <v>20</v>
      </c>
      <c r="F114" s="2" t="str">
        <f t="shared" si="3"/>
        <v>בטווח 15–20</v>
      </c>
      <c r="G114" s="2" t="s">
        <v>713</v>
      </c>
      <c r="H114" s="2" t="s">
        <v>714</v>
      </c>
      <c r="I114" s="2" t="s">
        <v>715</v>
      </c>
      <c r="J114" s="2" t="s">
        <v>28</v>
      </c>
      <c r="K114" s="2"/>
      <c r="L114" s="2" t="s">
        <v>29</v>
      </c>
      <c r="M114" s="2"/>
      <c r="N114" s="2" t="s">
        <v>30</v>
      </c>
      <c r="O114" s="2" t="s">
        <v>31</v>
      </c>
      <c r="P114" s="2"/>
      <c r="Q114" s="2"/>
      <c r="R114" s="2" t="s">
        <v>698</v>
      </c>
      <c r="S114" s="2" t="s">
        <v>716</v>
      </c>
      <c r="T114" s="6"/>
      <c r="U114" s="6"/>
      <c r="V114" s="6"/>
      <c r="W114" s="6" t="s">
        <v>33</v>
      </c>
    </row>
    <row r="115" spans="1:23" ht="328" x14ac:dyDescent="0.2">
      <c r="A115" s="2" t="s">
        <v>717</v>
      </c>
      <c r="B115" s="3" t="s">
        <v>51</v>
      </c>
      <c r="C115" s="4">
        <v>2.6157407407407407E-2</v>
      </c>
      <c r="D115" s="4">
        <v>2.6388888888888889E-2</v>
      </c>
      <c r="E115" s="5">
        <f t="shared" si="2"/>
        <v>20</v>
      </c>
      <c r="F115" s="2" t="str">
        <f t="shared" si="3"/>
        <v>בטווח 15–20</v>
      </c>
      <c r="G115" s="2" t="s">
        <v>718</v>
      </c>
      <c r="H115" s="2" t="s">
        <v>719</v>
      </c>
      <c r="I115" s="2" t="s">
        <v>720</v>
      </c>
      <c r="J115" s="2" t="s">
        <v>28</v>
      </c>
      <c r="K115" s="2"/>
      <c r="L115" s="2" t="s">
        <v>29</v>
      </c>
      <c r="M115" s="2"/>
      <c r="N115" s="2" t="s">
        <v>30</v>
      </c>
      <c r="O115" s="2" t="s">
        <v>31</v>
      </c>
      <c r="P115" s="2"/>
      <c r="Q115" s="2"/>
      <c r="R115" s="2" t="s">
        <v>698</v>
      </c>
      <c r="S115" s="2" t="s">
        <v>721</v>
      </c>
      <c r="T115" s="6"/>
      <c r="U115" s="6"/>
      <c r="V115" s="6"/>
      <c r="W115" s="6" t="s">
        <v>33</v>
      </c>
    </row>
    <row r="116" spans="1:23" ht="285" x14ac:dyDescent="0.2">
      <c r="A116" s="2" t="s">
        <v>722</v>
      </c>
      <c r="B116" s="3" t="s">
        <v>57</v>
      </c>
      <c r="C116" s="4">
        <v>2.6388888888888889E-2</v>
      </c>
      <c r="D116" s="4">
        <v>2.6620370370370371E-2</v>
      </c>
      <c r="E116" s="5">
        <f t="shared" si="2"/>
        <v>20</v>
      </c>
      <c r="F116" s="2" t="str">
        <f t="shared" si="3"/>
        <v>בטווח 15–20</v>
      </c>
      <c r="G116" s="2" t="s">
        <v>723</v>
      </c>
      <c r="H116" s="2" t="s">
        <v>724</v>
      </c>
      <c r="I116" s="2" t="s">
        <v>725</v>
      </c>
      <c r="J116" s="2" t="s">
        <v>28</v>
      </c>
      <c r="K116" s="2" t="s">
        <v>726</v>
      </c>
      <c r="L116" s="2" t="s">
        <v>727</v>
      </c>
      <c r="M116" s="2" t="s">
        <v>728</v>
      </c>
      <c r="N116" s="2" t="s">
        <v>64</v>
      </c>
      <c r="O116" s="2" t="s">
        <v>31</v>
      </c>
      <c r="P116" s="2" t="s">
        <v>729</v>
      </c>
      <c r="Q116" s="2" t="s">
        <v>414</v>
      </c>
      <c r="R116" s="2" t="s">
        <v>730</v>
      </c>
      <c r="S116" s="2" t="s">
        <v>731</v>
      </c>
      <c r="T116" s="6"/>
      <c r="U116" s="6"/>
      <c r="V116" s="6"/>
      <c r="W116" s="6" t="s">
        <v>33</v>
      </c>
    </row>
    <row r="117" spans="1:23" ht="285" x14ac:dyDescent="0.2">
      <c r="A117" s="2" t="s">
        <v>732</v>
      </c>
      <c r="B117" s="3" t="s">
        <v>57</v>
      </c>
      <c r="C117" s="4">
        <v>2.6620370370370371E-2</v>
      </c>
      <c r="D117" s="4">
        <v>2.6851851851851852E-2</v>
      </c>
      <c r="E117" s="5">
        <f t="shared" si="2"/>
        <v>20</v>
      </c>
      <c r="F117" s="2" t="str">
        <f t="shared" si="3"/>
        <v>בטווח 15–20</v>
      </c>
      <c r="G117" s="2" t="s">
        <v>733</v>
      </c>
      <c r="H117" s="2" t="s">
        <v>734</v>
      </c>
      <c r="I117" s="2" t="s">
        <v>735</v>
      </c>
      <c r="J117" s="2" t="s">
        <v>28</v>
      </c>
      <c r="K117" s="2" t="s">
        <v>736</v>
      </c>
      <c r="L117" s="2" t="s">
        <v>737</v>
      </c>
      <c r="M117" s="2" t="s">
        <v>738</v>
      </c>
      <c r="N117" s="2" t="s">
        <v>64</v>
      </c>
      <c r="O117" s="2" t="s">
        <v>31</v>
      </c>
      <c r="P117" s="2" t="s">
        <v>739</v>
      </c>
      <c r="Q117" s="2"/>
      <c r="R117" s="2" t="s">
        <v>730</v>
      </c>
      <c r="S117" s="2" t="s">
        <v>740</v>
      </c>
      <c r="T117" s="6"/>
      <c r="U117" s="6"/>
      <c r="V117" s="6"/>
      <c r="W117" s="6" t="s">
        <v>33</v>
      </c>
    </row>
    <row r="118" spans="1:23" ht="285" x14ac:dyDescent="0.2">
      <c r="A118" s="2" t="s">
        <v>741</v>
      </c>
      <c r="B118" s="3" t="s">
        <v>57</v>
      </c>
      <c r="C118" s="4">
        <v>2.6851851851851852E-2</v>
      </c>
      <c r="D118" s="4">
        <v>2.7083333333333334E-2</v>
      </c>
      <c r="E118" s="5">
        <f t="shared" si="2"/>
        <v>20</v>
      </c>
      <c r="F118" s="2" t="str">
        <f t="shared" si="3"/>
        <v>בטווח 15–20</v>
      </c>
      <c r="G118" s="2" t="s">
        <v>742</v>
      </c>
      <c r="H118" s="2" t="s">
        <v>743</v>
      </c>
      <c r="I118" s="2" t="s">
        <v>744</v>
      </c>
      <c r="J118" s="2" t="s">
        <v>28</v>
      </c>
      <c r="K118" s="2" t="s">
        <v>745</v>
      </c>
      <c r="L118" s="2" t="s">
        <v>746</v>
      </c>
      <c r="M118" s="2" t="s">
        <v>747</v>
      </c>
      <c r="N118" s="2" t="s">
        <v>64</v>
      </c>
      <c r="O118" s="2" t="s">
        <v>31</v>
      </c>
      <c r="P118" s="2" t="s">
        <v>748</v>
      </c>
      <c r="Q118" s="2"/>
      <c r="R118" s="2" t="s">
        <v>749</v>
      </c>
      <c r="S118" s="2" t="s">
        <v>750</v>
      </c>
      <c r="T118" s="6"/>
      <c r="U118" s="6"/>
      <c r="V118" s="6"/>
      <c r="W118" s="6" t="s">
        <v>33</v>
      </c>
    </row>
    <row r="119" spans="1:23" ht="255" x14ac:dyDescent="0.2">
      <c r="A119" s="2" t="s">
        <v>751</v>
      </c>
      <c r="B119" s="3" t="s">
        <v>51</v>
      </c>
      <c r="C119" s="4">
        <v>2.7083333333333334E-2</v>
      </c>
      <c r="D119" s="4">
        <v>2.7314814814814816E-2</v>
      </c>
      <c r="E119" s="5">
        <f t="shared" si="2"/>
        <v>20</v>
      </c>
      <c r="F119" s="2" t="str">
        <f t="shared" si="3"/>
        <v>בטווח 15–20</v>
      </c>
      <c r="G119" s="2" t="s">
        <v>752</v>
      </c>
      <c r="H119" s="2" t="s">
        <v>753</v>
      </c>
      <c r="I119" s="2" t="s">
        <v>754</v>
      </c>
      <c r="J119" s="2" t="s">
        <v>28</v>
      </c>
      <c r="K119" s="2"/>
      <c r="L119" s="2" t="s">
        <v>29</v>
      </c>
      <c r="M119" s="2"/>
      <c r="N119" s="2" t="s">
        <v>30</v>
      </c>
      <c r="O119" s="2" t="s">
        <v>31</v>
      </c>
      <c r="P119" s="2"/>
      <c r="Q119" s="2" t="s">
        <v>755</v>
      </c>
      <c r="R119" s="2" t="s">
        <v>756</v>
      </c>
      <c r="S119" s="2" t="s">
        <v>757</v>
      </c>
      <c r="T119" s="6"/>
      <c r="U119" s="6"/>
      <c r="V119" s="6"/>
      <c r="W119" s="6" t="s">
        <v>33</v>
      </c>
    </row>
    <row r="120" spans="1:23" ht="195" x14ac:dyDescent="0.2">
      <c r="A120" s="2" t="s">
        <v>758</v>
      </c>
      <c r="B120" s="3" t="s">
        <v>51</v>
      </c>
      <c r="C120" s="4">
        <v>2.7314814814814816E-2</v>
      </c>
      <c r="D120" s="4">
        <v>2.7546296296296298E-2</v>
      </c>
      <c r="E120" s="5">
        <f t="shared" si="2"/>
        <v>20</v>
      </c>
      <c r="F120" s="2" t="str">
        <f t="shared" si="3"/>
        <v>בטווח 15–20</v>
      </c>
      <c r="G120" s="2" t="s">
        <v>759</v>
      </c>
      <c r="H120" s="2" t="s">
        <v>760</v>
      </c>
      <c r="I120" s="2" t="s">
        <v>761</v>
      </c>
      <c r="J120" s="2" t="s">
        <v>28</v>
      </c>
      <c r="K120" s="2"/>
      <c r="L120" s="2" t="s">
        <v>29</v>
      </c>
      <c r="M120" s="2"/>
      <c r="N120" s="2" t="s">
        <v>30</v>
      </c>
      <c r="O120" s="2" t="s">
        <v>31</v>
      </c>
      <c r="P120" s="2"/>
      <c r="Q120" s="2"/>
      <c r="R120" s="2" t="s">
        <v>756</v>
      </c>
      <c r="S120" s="2" t="s">
        <v>762</v>
      </c>
      <c r="T120" s="6"/>
      <c r="U120" s="6"/>
      <c r="V120" s="6"/>
      <c r="W120" s="6" t="s">
        <v>33</v>
      </c>
    </row>
    <row r="121" spans="1:23" ht="240" x14ac:dyDescent="0.2">
      <c r="A121" s="2" t="s">
        <v>763</v>
      </c>
      <c r="B121" s="3" t="s">
        <v>57</v>
      </c>
      <c r="C121" s="4">
        <v>2.7546296296296298E-2</v>
      </c>
      <c r="D121" s="4">
        <v>2.7777777777777776E-2</v>
      </c>
      <c r="E121" s="5">
        <f t="shared" si="2"/>
        <v>20</v>
      </c>
      <c r="F121" s="2" t="str">
        <f t="shared" si="3"/>
        <v>בטווח 15–20</v>
      </c>
      <c r="G121" s="2" t="s">
        <v>764</v>
      </c>
      <c r="H121" s="2" t="s">
        <v>765</v>
      </c>
      <c r="I121" s="2" t="s">
        <v>766</v>
      </c>
      <c r="J121" s="2" t="s">
        <v>38</v>
      </c>
      <c r="K121" s="2" t="s">
        <v>767</v>
      </c>
      <c r="L121" s="2" t="s">
        <v>768</v>
      </c>
      <c r="M121" s="2" t="s">
        <v>769</v>
      </c>
      <c r="N121" s="2" t="s">
        <v>64</v>
      </c>
      <c r="O121" s="2" t="s">
        <v>31</v>
      </c>
      <c r="P121" s="2" t="s">
        <v>770</v>
      </c>
      <c r="Q121" s="2" t="s">
        <v>755</v>
      </c>
      <c r="R121" s="2" t="s">
        <v>771</v>
      </c>
      <c r="S121" s="2" t="s">
        <v>772</v>
      </c>
      <c r="T121" s="6"/>
      <c r="U121" s="6"/>
      <c r="V121" s="6"/>
      <c r="W121" s="6" t="s">
        <v>33</v>
      </c>
    </row>
    <row r="122" spans="1:23" ht="240" x14ac:dyDescent="0.2">
      <c r="A122" s="2" t="s">
        <v>773</v>
      </c>
      <c r="B122" s="3" t="s">
        <v>57</v>
      </c>
      <c r="C122" s="4">
        <v>2.7777777777777776E-2</v>
      </c>
      <c r="D122" s="4">
        <v>2.8009259259259258E-2</v>
      </c>
      <c r="E122" s="5">
        <f t="shared" si="2"/>
        <v>20</v>
      </c>
      <c r="F122" s="2" t="str">
        <f t="shared" si="3"/>
        <v>בטווח 15–20</v>
      </c>
      <c r="G122" s="2" t="s">
        <v>774</v>
      </c>
      <c r="H122" s="2" t="s">
        <v>775</v>
      </c>
      <c r="I122" s="2" t="s">
        <v>776</v>
      </c>
      <c r="J122" s="2" t="s">
        <v>38</v>
      </c>
      <c r="K122" s="2" t="s">
        <v>777</v>
      </c>
      <c r="L122" s="2" t="s">
        <v>778</v>
      </c>
      <c r="M122" s="2" t="s">
        <v>779</v>
      </c>
      <c r="N122" s="2" t="s">
        <v>64</v>
      </c>
      <c r="O122" s="2" t="s">
        <v>31</v>
      </c>
      <c r="P122" s="2" t="s">
        <v>780</v>
      </c>
      <c r="Q122" s="2"/>
      <c r="R122" s="2" t="s">
        <v>771</v>
      </c>
      <c r="S122" s="2" t="s">
        <v>781</v>
      </c>
      <c r="T122" s="6"/>
      <c r="U122" s="6"/>
      <c r="V122" s="6"/>
      <c r="W122" s="6" t="s">
        <v>33</v>
      </c>
    </row>
    <row r="123" spans="1:23" ht="314" x14ac:dyDescent="0.2">
      <c r="A123" s="2" t="s">
        <v>782</v>
      </c>
      <c r="B123" s="3" t="s">
        <v>24</v>
      </c>
      <c r="C123" s="4">
        <v>2.8009259259259258E-2</v>
      </c>
      <c r="D123" s="4">
        <v>2.824074074074074E-2</v>
      </c>
      <c r="E123" s="5">
        <f t="shared" si="2"/>
        <v>20</v>
      </c>
      <c r="F123" s="2" t="str">
        <f t="shared" si="3"/>
        <v>בטווח 15–20</v>
      </c>
      <c r="G123" s="2" t="s">
        <v>783</v>
      </c>
      <c r="H123" s="2" t="s">
        <v>784</v>
      </c>
      <c r="I123" s="2" t="s">
        <v>785</v>
      </c>
      <c r="J123" s="2" t="s">
        <v>28</v>
      </c>
      <c r="K123" s="2"/>
      <c r="L123" s="2" t="s">
        <v>29</v>
      </c>
      <c r="M123" s="2"/>
      <c r="N123" s="2" t="s">
        <v>30</v>
      </c>
      <c r="O123" s="2" t="s">
        <v>31</v>
      </c>
      <c r="P123" s="2"/>
      <c r="Q123" s="2"/>
      <c r="R123" s="2"/>
      <c r="S123" s="2" t="s">
        <v>786</v>
      </c>
      <c r="T123" s="6"/>
      <c r="U123" s="6"/>
      <c r="V123" s="6"/>
      <c r="W123" s="6" t="s">
        <v>33</v>
      </c>
    </row>
    <row r="124" spans="1:23" ht="195" x14ac:dyDescent="0.2">
      <c r="A124" s="2" t="s">
        <v>787</v>
      </c>
      <c r="B124" s="3" t="s">
        <v>24</v>
      </c>
      <c r="C124" s="4">
        <v>2.824074074074074E-2</v>
      </c>
      <c r="D124" s="4">
        <v>2.8472222222222222E-2</v>
      </c>
      <c r="E124" s="5">
        <f t="shared" si="2"/>
        <v>20</v>
      </c>
      <c r="F124" s="2" t="str">
        <f t="shared" si="3"/>
        <v>בטווח 15–20</v>
      </c>
      <c r="G124" s="2" t="s">
        <v>788</v>
      </c>
      <c r="H124" s="2" t="s">
        <v>789</v>
      </c>
      <c r="I124" s="2" t="s">
        <v>790</v>
      </c>
      <c r="J124" s="2" t="s">
        <v>86</v>
      </c>
      <c r="K124" s="2" t="s">
        <v>791</v>
      </c>
      <c r="L124" s="2" t="s">
        <v>29</v>
      </c>
      <c r="M124" s="2"/>
      <c r="N124" s="2" t="s">
        <v>30</v>
      </c>
      <c r="O124" s="2" t="s">
        <v>31</v>
      </c>
      <c r="P124" s="2"/>
      <c r="Q124" s="2"/>
      <c r="R124" s="2"/>
      <c r="S124" s="2" t="s">
        <v>792</v>
      </c>
      <c r="T124" s="6"/>
      <c r="U124" s="6"/>
      <c r="V124" s="6"/>
      <c r="W124" s="6" t="s">
        <v>33</v>
      </c>
    </row>
    <row r="125" spans="1:23" ht="342" x14ac:dyDescent="0.2">
      <c r="A125" s="2" t="s">
        <v>793</v>
      </c>
      <c r="B125" s="3" t="s">
        <v>51</v>
      </c>
      <c r="C125" s="4">
        <v>2.8472222222222222E-2</v>
      </c>
      <c r="D125" s="4">
        <v>2.8703703703703703E-2</v>
      </c>
      <c r="E125" s="5">
        <f t="shared" si="2"/>
        <v>20</v>
      </c>
      <c r="F125" s="2" t="str">
        <f t="shared" si="3"/>
        <v>בטווח 15–20</v>
      </c>
      <c r="G125" s="2" t="s">
        <v>794</v>
      </c>
      <c r="H125" s="2" t="s">
        <v>795</v>
      </c>
      <c r="I125" s="2" t="s">
        <v>796</v>
      </c>
      <c r="J125" s="2" t="s">
        <v>28</v>
      </c>
      <c r="K125" s="2"/>
      <c r="L125" s="2" t="s">
        <v>29</v>
      </c>
      <c r="M125" s="2"/>
      <c r="N125" s="2" t="s">
        <v>30</v>
      </c>
      <c r="O125" s="2" t="s">
        <v>31</v>
      </c>
      <c r="P125" s="2"/>
      <c r="Q125" s="2"/>
      <c r="R125" s="2" t="s">
        <v>797</v>
      </c>
      <c r="S125" s="2" t="s">
        <v>798</v>
      </c>
      <c r="T125" s="6"/>
      <c r="U125" s="6"/>
      <c r="V125" s="6"/>
      <c r="W125" s="6" t="s">
        <v>33</v>
      </c>
    </row>
    <row r="126" spans="1:23" ht="270" x14ac:dyDescent="0.2">
      <c r="A126" s="2" t="s">
        <v>799</v>
      </c>
      <c r="B126" s="3" t="s">
        <v>51</v>
      </c>
      <c r="C126" s="4">
        <v>2.8703703703703703E-2</v>
      </c>
      <c r="D126" s="4">
        <v>2.8935185185185185E-2</v>
      </c>
      <c r="E126" s="5">
        <f t="shared" si="2"/>
        <v>20</v>
      </c>
      <c r="F126" s="2" t="str">
        <f t="shared" si="3"/>
        <v>בטווח 15–20</v>
      </c>
      <c r="G126" s="2" t="s">
        <v>800</v>
      </c>
      <c r="H126" s="2" t="s">
        <v>801</v>
      </c>
      <c r="I126" s="2" t="s">
        <v>802</v>
      </c>
      <c r="J126" s="2" t="s">
        <v>28</v>
      </c>
      <c r="K126" s="2"/>
      <c r="L126" s="2" t="s">
        <v>29</v>
      </c>
      <c r="M126" s="2"/>
      <c r="N126" s="2" t="s">
        <v>30</v>
      </c>
      <c r="O126" s="2" t="s">
        <v>31</v>
      </c>
      <c r="P126" s="2"/>
      <c r="Q126" s="2"/>
      <c r="R126" s="2" t="s">
        <v>797</v>
      </c>
      <c r="S126" s="2" t="s">
        <v>803</v>
      </c>
      <c r="T126" s="6"/>
      <c r="U126" s="6"/>
      <c r="V126" s="6"/>
      <c r="W126" s="6" t="s">
        <v>33</v>
      </c>
    </row>
    <row r="127" spans="1:23" ht="300" x14ac:dyDescent="0.2">
      <c r="A127" s="2" t="s">
        <v>804</v>
      </c>
      <c r="B127" s="3" t="s">
        <v>24</v>
      </c>
      <c r="C127" s="4">
        <v>2.8935185185185185E-2</v>
      </c>
      <c r="D127" s="4">
        <v>2.9166666666666667E-2</v>
      </c>
      <c r="E127" s="5">
        <f t="shared" si="2"/>
        <v>20</v>
      </c>
      <c r="F127" s="2" t="str">
        <f t="shared" si="3"/>
        <v>בטווח 15–20</v>
      </c>
      <c r="G127" s="2" t="s">
        <v>805</v>
      </c>
      <c r="H127" s="2" t="s">
        <v>806</v>
      </c>
      <c r="I127" s="2" t="s">
        <v>807</v>
      </c>
      <c r="J127" s="2" t="s">
        <v>28</v>
      </c>
      <c r="K127" s="2"/>
      <c r="L127" s="2" t="s">
        <v>29</v>
      </c>
      <c r="M127" s="2"/>
      <c r="N127" s="2" t="s">
        <v>30</v>
      </c>
      <c r="O127" s="2" t="s">
        <v>31</v>
      </c>
      <c r="P127" s="2"/>
      <c r="Q127" s="2"/>
      <c r="R127" s="2"/>
      <c r="S127" s="2" t="s">
        <v>808</v>
      </c>
      <c r="T127" s="6"/>
      <c r="U127" s="6"/>
      <c r="V127" s="6"/>
      <c r="W127" s="6" t="s">
        <v>33</v>
      </c>
    </row>
    <row r="128" spans="1:23" ht="255" x14ac:dyDescent="0.2">
      <c r="A128" s="2" t="s">
        <v>809</v>
      </c>
      <c r="B128" s="3" t="s">
        <v>24</v>
      </c>
      <c r="C128" s="4">
        <v>2.9166666666666667E-2</v>
      </c>
      <c r="D128" s="4">
        <v>2.9398148148148149E-2</v>
      </c>
      <c r="E128" s="5">
        <f t="shared" si="2"/>
        <v>20</v>
      </c>
      <c r="F128" s="2" t="str">
        <f t="shared" si="3"/>
        <v>בטווח 15–20</v>
      </c>
      <c r="G128" s="2" t="s">
        <v>810</v>
      </c>
      <c r="H128" s="2" t="s">
        <v>811</v>
      </c>
      <c r="I128" s="2" t="s">
        <v>812</v>
      </c>
      <c r="J128" s="2" t="s">
        <v>28</v>
      </c>
      <c r="K128" s="2"/>
      <c r="L128" s="2" t="s">
        <v>29</v>
      </c>
      <c r="M128" s="2"/>
      <c r="N128" s="2" t="s">
        <v>30</v>
      </c>
      <c r="O128" s="2" t="s">
        <v>31</v>
      </c>
      <c r="P128" s="2"/>
      <c r="Q128" s="2"/>
      <c r="R128" s="2"/>
      <c r="S128" s="2" t="s">
        <v>813</v>
      </c>
      <c r="T128" s="6"/>
      <c r="U128" s="6"/>
      <c r="V128" s="6"/>
      <c r="W128" s="6" t="s">
        <v>33</v>
      </c>
    </row>
    <row r="129" spans="1:23" ht="300" x14ac:dyDescent="0.2">
      <c r="A129" s="2" t="s">
        <v>814</v>
      </c>
      <c r="B129" s="3" t="s">
        <v>51</v>
      </c>
      <c r="C129" s="4">
        <v>2.9398148148148149E-2</v>
      </c>
      <c r="D129" s="4">
        <v>2.9629629629629631E-2</v>
      </c>
      <c r="E129" s="5">
        <f t="shared" si="2"/>
        <v>20</v>
      </c>
      <c r="F129" s="2" t="str">
        <f t="shared" si="3"/>
        <v>בטווח 15–20</v>
      </c>
      <c r="G129" s="2" t="s">
        <v>815</v>
      </c>
      <c r="H129" s="2" t="s">
        <v>816</v>
      </c>
      <c r="I129" s="2" t="s">
        <v>817</v>
      </c>
      <c r="J129" s="2" t="s">
        <v>38</v>
      </c>
      <c r="K129" s="2"/>
      <c r="L129" s="2" t="s">
        <v>29</v>
      </c>
      <c r="M129" s="2"/>
      <c r="N129" s="2" t="s">
        <v>30</v>
      </c>
      <c r="O129" s="2" t="s">
        <v>31</v>
      </c>
      <c r="P129" s="2"/>
      <c r="Q129" s="2" t="s">
        <v>818</v>
      </c>
      <c r="R129" s="2" t="s">
        <v>819</v>
      </c>
      <c r="S129" s="2" t="s">
        <v>820</v>
      </c>
      <c r="T129" s="6"/>
      <c r="U129" s="6"/>
      <c r="V129" s="6"/>
      <c r="W129" s="6" t="s">
        <v>33</v>
      </c>
    </row>
    <row r="130" spans="1:23" ht="328" x14ac:dyDescent="0.2">
      <c r="A130" s="2" t="s">
        <v>821</v>
      </c>
      <c r="B130" s="3" t="s">
        <v>51</v>
      </c>
      <c r="C130" s="4">
        <v>2.9629629629629631E-2</v>
      </c>
      <c r="D130" s="4">
        <v>2.9861111111111113E-2</v>
      </c>
      <c r="E130" s="5">
        <f t="shared" ref="E130:E137" si="4">ROUND((D130-C130)*86400,3)</f>
        <v>20</v>
      </c>
      <c r="F130" s="2" t="str">
        <f t="shared" ref="F130:F137" si="5">IF(AND(E130&gt;=15,E130&lt;=20),"בטווח 15–20","לבדיקה")</f>
        <v>בטווח 15–20</v>
      </c>
      <c r="G130" s="2" t="s">
        <v>822</v>
      </c>
      <c r="H130" s="2" t="s">
        <v>823</v>
      </c>
      <c r="I130" s="2" t="s">
        <v>824</v>
      </c>
      <c r="J130" s="2" t="s">
        <v>28</v>
      </c>
      <c r="K130" s="2"/>
      <c r="L130" s="2" t="s">
        <v>29</v>
      </c>
      <c r="M130" s="2"/>
      <c r="N130" s="2" t="s">
        <v>30</v>
      </c>
      <c r="O130" s="2" t="s">
        <v>31</v>
      </c>
      <c r="P130" s="2"/>
      <c r="Q130" s="2"/>
      <c r="R130" s="2" t="s">
        <v>819</v>
      </c>
      <c r="S130" s="2" t="s">
        <v>825</v>
      </c>
      <c r="T130" s="6"/>
      <c r="U130" s="6"/>
      <c r="V130" s="6"/>
      <c r="W130" s="6" t="s">
        <v>33</v>
      </c>
    </row>
    <row r="131" spans="1:23" ht="270" x14ac:dyDescent="0.2">
      <c r="A131" s="2" t="s">
        <v>826</v>
      </c>
      <c r="B131" s="3" t="s">
        <v>51</v>
      </c>
      <c r="C131" s="4">
        <v>2.9861111111111113E-2</v>
      </c>
      <c r="D131" s="4">
        <v>3.0092592592592591E-2</v>
      </c>
      <c r="E131" s="5">
        <f t="shared" si="4"/>
        <v>20</v>
      </c>
      <c r="F131" s="2" t="str">
        <f t="shared" si="5"/>
        <v>בטווח 15–20</v>
      </c>
      <c r="G131" s="2" t="s">
        <v>827</v>
      </c>
      <c r="H131" s="2" t="s">
        <v>828</v>
      </c>
      <c r="I131" s="2" t="s">
        <v>829</v>
      </c>
      <c r="J131" s="2" t="s">
        <v>28</v>
      </c>
      <c r="K131" s="2" t="s">
        <v>830</v>
      </c>
      <c r="L131" s="2" t="s">
        <v>29</v>
      </c>
      <c r="M131" s="2"/>
      <c r="N131" s="2" t="s">
        <v>30</v>
      </c>
      <c r="O131" s="2" t="s">
        <v>31</v>
      </c>
      <c r="P131" s="2"/>
      <c r="Q131" s="2" t="s">
        <v>831</v>
      </c>
      <c r="R131" s="2" t="s">
        <v>819</v>
      </c>
      <c r="S131" s="2" t="s">
        <v>832</v>
      </c>
      <c r="T131" s="6"/>
      <c r="U131" s="6"/>
      <c r="V131" s="6"/>
      <c r="W131" s="6" t="s">
        <v>33</v>
      </c>
    </row>
    <row r="132" spans="1:23" ht="300" x14ac:dyDescent="0.2">
      <c r="A132" s="2" t="s">
        <v>833</v>
      </c>
      <c r="B132" s="3" t="s">
        <v>51</v>
      </c>
      <c r="C132" s="4">
        <v>3.0092592592592591E-2</v>
      </c>
      <c r="D132" s="4">
        <v>3.0324074074074073E-2</v>
      </c>
      <c r="E132" s="5">
        <f t="shared" si="4"/>
        <v>20</v>
      </c>
      <c r="F132" s="2" t="str">
        <f t="shared" si="5"/>
        <v>בטווח 15–20</v>
      </c>
      <c r="G132" s="2" t="s">
        <v>834</v>
      </c>
      <c r="H132" s="2" t="s">
        <v>835</v>
      </c>
      <c r="I132" s="2" t="s">
        <v>836</v>
      </c>
      <c r="J132" s="2" t="s">
        <v>28</v>
      </c>
      <c r="K132" s="2" t="s">
        <v>837</v>
      </c>
      <c r="L132" s="2" t="s">
        <v>29</v>
      </c>
      <c r="M132" s="2"/>
      <c r="N132" s="2" t="s">
        <v>30</v>
      </c>
      <c r="O132" s="2" t="s">
        <v>281</v>
      </c>
      <c r="P132" s="2"/>
      <c r="Q132" s="2"/>
      <c r="R132" s="2" t="s">
        <v>838</v>
      </c>
      <c r="S132" s="2" t="s">
        <v>839</v>
      </c>
      <c r="T132" s="6"/>
      <c r="U132" s="6"/>
      <c r="V132" s="6"/>
      <c r="W132" s="6" t="s">
        <v>33</v>
      </c>
    </row>
    <row r="133" spans="1:23" ht="328" x14ac:dyDescent="0.2">
      <c r="A133" s="2" t="s">
        <v>840</v>
      </c>
      <c r="B133" s="3" t="s">
        <v>51</v>
      </c>
      <c r="C133" s="4">
        <v>3.0324074074074073E-2</v>
      </c>
      <c r="D133" s="4">
        <v>3.0555555555555555E-2</v>
      </c>
      <c r="E133" s="5">
        <f t="shared" si="4"/>
        <v>20</v>
      </c>
      <c r="F133" s="2" t="str">
        <f t="shared" si="5"/>
        <v>בטווח 15–20</v>
      </c>
      <c r="G133" s="2" t="s">
        <v>841</v>
      </c>
      <c r="H133" s="2" t="s">
        <v>842</v>
      </c>
      <c r="I133" s="2" t="s">
        <v>843</v>
      </c>
      <c r="J133" s="2" t="s">
        <v>28</v>
      </c>
      <c r="K133" s="2" t="s">
        <v>844</v>
      </c>
      <c r="L133" s="2" t="s">
        <v>29</v>
      </c>
      <c r="M133" s="2"/>
      <c r="N133" s="2" t="s">
        <v>30</v>
      </c>
      <c r="O133" s="2" t="s">
        <v>31</v>
      </c>
      <c r="P133" s="2"/>
      <c r="Q133" s="2" t="s">
        <v>845</v>
      </c>
      <c r="R133" s="2" t="s">
        <v>846</v>
      </c>
      <c r="S133" s="2" t="s">
        <v>847</v>
      </c>
      <c r="T133" s="6"/>
      <c r="U133" s="6"/>
      <c r="V133" s="6"/>
      <c r="W133" s="6" t="s">
        <v>33</v>
      </c>
    </row>
    <row r="134" spans="1:23" ht="285" x14ac:dyDescent="0.2">
      <c r="A134" s="2" t="s">
        <v>848</v>
      </c>
      <c r="B134" s="3" t="s">
        <v>57</v>
      </c>
      <c r="C134" s="4">
        <v>3.0555555555555555E-2</v>
      </c>
      <c r="D134" s="4">
        <v>3.0787037037037036E-2</v>
      </c>
      <c r="E134" s="5">
        <f t="shared" si="4"/>
        <v>20</v>
      </c>
      <c r="F134" s="2" t="str">
        <f t="shared" si="5"/>
        <v>בטווח 15–20</v>
      </c>
      <c r="G134" s="2" t="s">
        <v>849</v>
      </c>
      <c r="H134" s="2" t="s">
        <v>850</v>
      </c>
      <c r="I134" s="2" t="s">
        <v>851</v>
      </c>
      <c r="J134" s="2" t="s">
        <v>28</v>
      </c>
      <c r="K134" s="2" t="s">
        <v>852</v>
      </c>
      <c r="L134" s="2" t="s">
        <v>853</v>
      </c>
      <c r="M134" s="2" t="s">
        <v>854</v>
      </c>
      <c r="N134" s="2" t="s">
        <v>64</v>
      </c>
      <c r="O134" s="2" t="s">
        <v>31</v>
      </c>
      <c r="P134" s="2" t="s">
        <v>855</v>
      </c>
      <c r="Q134" s="2" t="s">
        <v>845</v>
      </c>
      <c r="R134" s="2" t="s">
        <v>846</v>
      </c>
      <c r="S134" s="2" t="s">
        <v>856</v>
      </c>
      <c r="T134" s="6"/>
      <c r="U134" s="6"/>
      <c r="V134" s="6"/>
      <c r="W134" s="6" t="s">
        <v>33</v>
      </c>
    </row>
    <row r="135" spans="1:23" ht="210" x14ac:dyDescent="0.2">
      <c r="A135" s="2" t="s">
        <v>857</v>
      </c>
      <c r="B135" s="3" t="s">
        <v>57</v>
      </c>
      <c r="C135" s="4">
        <v>3.0787037037037036E-2</v>
      </c>
      <c r="D135" s="4">
        <v>3.1018518518518518E-2</v>
      </c>
      <c r="E135" s="5">
        <f t="shared" si="4"/>
        <v>20</v>
      </c>
      <c r="F135" s="2" t="str">
        <f t="shared" si="5"/>
        <v>בטווח 15–20</v>
      </c>
      <c r="G135" s="2" t="s">
        <v>858</v>
      </c>
      <c r="H135" s="2" t="s">
        <v>859</v>
      </c>
      <c r="I135" s="2" t="s">
        <v>860</v>
      </c>
      <c r="J135" s="2" t="s">
        <v>28</v>
      </c>
      <c r="K135" s="2" t="s">
        <v>861</v>
      </c>
      <c r="L135" s="2" t="s">
        <v>862</v>
      </c>
      <c r="M135" s="2" t="s">
        <v>863</v>
      </c>
      <c r="N135" s="2" t="s">
        <v>64</v>
      </c>
      <c r="O135" s="2" t="s">
        <v>31</v>
      </c>
      <c r="P135" s="2" t="s">
        <v>864</v>
      </c>
      <c r="Q135" s="2"/>
      <c r="R135" s="2"/>
      <c r="S135" s="2" t="s">
        <v>865</v>
      </c>
      <c r="T135" s="6"/>
      <c r="U135" s="6"/>
      <c r="V135" s="6"/>
      <c r="W135" s="6" t="s">
        <v>33</v>
      </c>
    </row>
    <row r="136" spans="1:23" ht="195" x14ac:dyDescent="0.2">
      <c r="A136" s="2" t="s">
        <v>866</v>
      </c>
      <c r="B136" s="3" t="s">
        <v>57</v>
      </c>
      <c r="C136" s="4">
        <v>3.1018518518518518E-2</v>
      </c>
      <c r="D136" s="4">
        <v>3.1203287037037036E-2</v>
      </c>
      <c r="E136" s="5">
        <f t="shared" si="4"/>
        <v>15.964</v>
      </c>
      <c r="F136" s="2" t="str">
        <f t="shared" si="5"/>
        <v>בטווח 15–20</v>
      </c>
      <c r="G136" s="2" t="s">
        <v>867</v>
      </c>
      <c r="H136" s="2" t="s">
        <v>868</v>
      </c>
      <c r="I136" s="2" t="s">
        <v>869</v>
      </c>
      <c r="J136" s="2" t="s">
        <v>28</v>
      </c>
      <c r="K136" s="2" t="s">
        <v>870</v>
      </c>
      <c r="L136" s="2" t="s">
        <v>871</v>
      </c>
      <c r="M136" s="2" t="s">
        <v>872</v>
      </c>
      <c r="N136" s="2" t="s">
        <v>64</v>
      </c>
      <c r="O136" s="2" t="s">
        <v>31</v>
      </c>
      <c r="P136" s="2" t="s">
        <v>873</v>
      </c>
      <c r="Q136" s="2"/>
      <c r="R136" s="2"/>
      <c r="S136" s="2" t="s">
        <v>874</v>
      </c>
      <c r="T136" s="6"/>
      <c r="U136" s="6"/>
      <c r="V136" s="6"/>
      <c r="W136" s="6" t="s">
        <v>33</v>
      </c>
    </row>
    <row r="137" spans="1:23" ht="225" x14ac:dyDescent="0.2">
      <c r="A137" s="2" t="s">
        <v>875</v>
      </c>
      <c r="B137" s="3" t="s">
        <v>24</v>
      </c>
      <c r="C137" s="4">
        <v>3.1203287037037036E-2</v>
      </c>
      <c r="D137" s="4">
        <v>3.1388055555555551E-2</v>
      </c>
      <c r="E137" s="5">
        <f t="shared" si="4"/>
        <v>15.964</v>
      </c>
      <c r="F137" s="2" t="str">
        <f t="shared" si="5"/>
        <v>בטווח 15–20</v>
      </c>
      <c r="G137" s="2" t="s">
        <v>876</v>
      </c>
      <c r="H137" s="2" t="s">
        <v>877</v>
      </c>
      <c r="I137" s="2" t="s">
        <v>878</v>
      </c>
      <c r="J137" s="2" t="s">
        <v>38</v>
      </c>
      <c r="K137" s="2" t="s">
        <v>879</v>
      </c>
      <c r="L137" s="2" t="s">
        <v>29</v>
      </c>
      <c r="M137" s="2"/>
      <c r="N137" s="2" t="s">
        <v>30</v>
      </c>
      <c r="O137" s="2" t="s">
        <v>31</v>
      </c>
      <c r="P137" s="2"/>
      <c r="Q137" s="2"/>
      <c r="R137" s="2"/>
      <c r="S137" s="2" t="s">
        <v>880</v>
      </c>
      <c r="T137" s="6"/>
      <c r="U137" s="6"/>
      <c r="V137" s="6"/>
      <c r="W137" s="6" t="s">
        <v>33</v>
      </c>
    </row>
  </sheetData>
  <dataValidations count="1">
    <dataValidation type="list" sqref="T2:V137" xr:uid="{F0D2816A-A0AD-E346-8BAB-E5276532045A}">
      <formula1>"COG,META,OTHER,לדיון"</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Yeara Dany</dc:creator>
  <cp:lastModifiedBy>Yeara Dany</cp:lastModifiedBy>
  <dcterms:created xsi:type="dcterms:W3CDTF">2026-09-19T19:20:42Z</dcterms:created>
  <dcterms:modified xsi:type="dcterms:W3CDTF">2026-09-19T19:21:03Z</dcterms:modified>
</cp:coreProperties>
</file>