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8c52ca96444e53" /></Relationships>
</file>

<file path=xl/workbook.xml><?xml version="1.0" encoding="utf-8"?>
<x:workbook xmlns:x="http://schemas.openxmlformats.org/spreadsheetml/2006/main">
  <x:sheets>
    <x:sheet xmlns:r="http://schemas.openxmlformats.org/officeDocument/2006/relationships" name="SCOPE Coding" sheetId="1" r:id="R3806af3b0f8a4344"/>
    <x:sheet xmlns:r="http://schemas.openxmlformats.org/officeDocument/2006/relationships" name="Summary" sheetId="2" r:id="R59ec7263347542a2"/>
    <x:sheet xmlns:r="http://schemas.openxmlformats.org/officeDocument/2006/relationships" name="LE Ratings" sheetId="3" r:id="R01301935adf74f3d"/>
    <x:sheet xmlns:r="http://schemas.openxmlformats.org/officeDocument/2006/relationships" name="Legend" sheetId="4" r:id="Ra88dfa0ea60e4cc0"/>
    <x:sheet xmlns:r="http://schemas.openxmlformats.org/officeDocument/2006/relationships" name="Method Notes" sheetId="5" r:id="R8771a984b82a401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name val="Carlito"/>
    </x:font>
    <x:font>
      <x:b/>
      <x:sz val="11"/>
      <x:name val="Carlito"/>
    </x:font>
  </x:fonts>
  <x:fills count="4">
    <x:fill>
      <x:patternFill patternType="none"/>
    </x:fill>
    <x:fill>
      <x:patternFill patternType="gray125"/>
    </x:fill>
    <x:fill>
      <x:patternFill patternType="solid">
        <x:fgColor rgb="FF0A2F5B"/>
      </x:patternFill>
    </x:fill>
    <x:fill>
      <x:patternFill patternType="solid">
        <x:fgColor rgb="FFEAF7FF"/>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right" wrapText="1"/>
    </x:xf>
    <x:xf numFmtId="0" fontId="2" fillId="0" borderId="0" xfId="0" applyNumberFormat="1" applyFont="1" applyFill="1" applyBorder="1" applyAlignment="1">
      <x:alignment horizontal="righ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horizontal="right" wrapText="1"/>
    </x:xf>
    <x:xf numFmtId="0" fontId="2" fillId="0" borderId="1" xfId="0" applyNumberFormat="1" applyFont="1" applyFill="1" applyBorder="1" applyAlignment="1">
      <x:alignment horizontal="righ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horizontal="right" wrapText="1"/>
    </x:xf>
    <x:xf numFmtId="0" fontId="0" fillId="0" borderId="1" xfId="0" applyNumberFormat="1" applyFont="1" applyFill="1" applyBorder="1" applyAlignment="1">
      <x:alignment horizontal="right" vertical="top"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horizontal="center"/>
    </x:xf>
    <x:xf numFmtId="0" fontId="0" fillId="0"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b6c2794602455c" /><Relationship Type="http://schemas.openxmlformats.org/officeDocument/2006/relationships/theme" Target="/xl/theme/theme1.xml" Id="Rc0d43b5bc8a14c16" /><Relationship Type="http://schemas.openxmlformats.org/officeDocument/2006/relationships/sharedStrings" Target="/xl/sharedStrings.xml" Id="R3e343ed1bd654ba7" /><Relationship Type="http://schemas.openxmlformats.org/officeDocument/2006/relationships/worksheet" Target="/xl/worksheets/sheet1.xml" Id="R3806af3b0f8a4344" /><Relationship Type="http://schemas.openxmlformats.org/officeDocument/2006/relationships/worksheet" Target="/xl/worksheets/sheet2.xml" Id="R59ec7263347542a2" /><Relationship Type="http://schemas.openxmlformats.org/officeDocument/2006/relationships/worksheet" Target="/xl/worksheets/sheet3.xml" Id="R01301935adf74f3d" /><Relationship Type="http://schemas.openxmlformats.org/officeDocument/2006/relationships/worksheet" Target="/xl/worksheets/sheet4.xml" Id="Ra88dfa0ea60e4cc0" /><Relationship Type="http://schemas.openxmlformats.org/officeDocument/2006/relationships/worksheet" Target="/xl/worksheets/sheet5.xml" Id="R8771a984b82a4014" /></Relationships>
</file>

<file path=xl/tables/table1.xml><?xml version="1.0" encoding="utf-8"?>
<x:table xmlns:x="http://schemas.openxmlformats.org/spreadsheetml/2006/main" id="1" name="ScopeCodingTable" displayName="ScopeCodingTable" ref="A1:T12" headerRowCount="1">
  <x:tableColumns count="20">
    <x:tableColumn id="1" name="מס׳"/>
    <x:tableColumn id="2" name="טיימקוד"/>
    <x:tableColumn id="3" name="רגע בשיעור"/>
    <x:tableColumn id="4" name="עדות מהתמלול"/>
    <x:tableColumn id="5" name="TDS"/>
    <x:tableColumn id="6" name="EX"/>
    <x:tableColumn id="7" name="SRL"/>
    <x:tableColumn id="8" name="ST"/>
    <x:tableColumn id="9" name="SCI"/>
    <x:tableColumn id="10" name="TA"/>
    <x:tableColumn id="11" name="MO"/>
    <x:tableColumn id="12" name="Q"/>
    <x:tableColumn id="13" name="EV"/>
    <x:tableColumn id="14" name="Confidence"/>
    <x:tableColumn id="15" name="נימוק לקידוד"/>
    <x:tableColumn id="16" name="PV Notice"/>
    <x:tableColumn id="17" name="PV Describe"/>
    <x:tableColumn id="18" name="PV Explain"/>
    <x:tableColumn id="19" name="PV Predict"/>
    <x:tableColumn id="20" name="הצעת המשך למורה"/>
  </x:tableColumns>
  <x:tableStyleInfo name="TableStyleMedium2" showRowStripes="1"/>
</x:table>
</file>

<file path=xl/tables/table2.xml><?xml version="1.0" encoding="utf-8"?>
<x:table xmlns:x="http://schemas.openxmlformats.org/spreadsheetml/2006/main" id="2" name="SummaryTable" displayName="SummaryTable" ref="A1:C10" headerRowCount="1">
  <x:tableColumns count="3">
    <x:tableColumn id="1" name="קטגוריה"/>
    <x:tableColumn id="2" name="ממצא מסכם"/>
    <x:tableColumn id="3" name="נימוק"/>
  </x:tableColumns>
  <x:tableStyleInfo name="TableStyleMedium2" showRowStripes="1"/>
</x:table>
</file>

<file path=xl/tables/table3.xml><?xml version="1.0" encoding="utf-8"?>
<x:table xmlns:x="http://schemas.openxmlformats.org/spreadsheetml/2006/main" id="3" name="LERatingsTable" displayName="LERatingsTable" ref="A1:D10" headerRowCount="1">
  <x:tableColumns count="4">
    <x:tableColumn id="1" name="קוד LE"/>
    <x:tableColumn id="2" name="דירוג 1–4"/>
    <x:tableColumn id="3" name="פירוש בדגימה הנוכחית"/>
    <x:tableColumn id="4" name="נימוק"/>
  </x:tableColumns>
  <x:tableStyleInfo name="TableStyleMedium2" showRowStripes="1"/>
</x:table>
</file>

<file path=xl/tables/table4.xml><?xml version="1.0" encoding="utf-8"?>
<x:table xmlns:x="http://schemas.openxmlformats.org/spreadsheetml/2006/main" id="4" name="LegendTable" displayName="LegendTable" ref="A1:C26" headerRowCount="1">
  <x:tableColumns count="3">
    <x:tableColumn id="1" name="משפחת קודים"/>
    <x:tableColumn id="2" name="קוד"/>
    <x:tableColumn id="3" name="הסבר קצר"/>
  </x:tableColumns>
  <x:tableStyleInfo name="TableStyleMedium2" showRowStripes="1"/>
</x:table>
</file>

<file path=xl/tables/table5.xml><?xml version="1.0" encoding="utf-8"?>
<x:table xmlns:x="http://schemas.openxmlformats.org/spreadsheetml/2006/main" id="5" name="NotesTable" displayName="NotesTable" ref="A1:B7" headerRowCount="1">
  <x:tableColumns count="2">
    <x:tableColumn id="1" name="נושא"/>
    <x:tableColumn id="2" name="הערה"/>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15ea0dbace049e0" /></Relationships>
</file>

<file path=xl/worksheets/_rels/sheet2.xml.rels>&#65279;<?xml version="1.0" encoding="utf-8"?><Relationships xmlns="http://schemas.openxmlformats.org/package/2006/relationships"><Relationship Type="http://schemas.openxmlformats.org/officeDocument/2006/relationships/table" Target="/xl/tables/table2.xml" Id="Rb95fc5799a1544e2" /></Relationships>
</file>

<file path=xl/worksheets/_rels/sheet3.xml.rels>&#65279;<?xml version="1.0" encoding="utf-8"?><Relationships xmlns="http://schemas.openxmlformats.org/package/2006/relationships"><Relationship Type="http://schemas.openxmlformats.org/officeDocument/2006/relationships/table" Target="/xl/tables/table3.xml" Id="R1de19d747fc04379" /></Relationships>
</file>

<file path=xl/worksheets/_rels/sheet4.xml.rels>&#65279;<?xml version="1.0" encoding="utf-8"?><Relationships xmlns="http://schemas.openxmlformats.org/package/2006/relationships"><Relationship Type="http://schemas.openxmlformats.org/officeDocument/2006/relationships/table" Target="/xl/tables/table4.xml" Id="Re6852dd804044a58" /></Relationships>
</file>

<file path=xl/worksheets/_rels/sheet5.xml.rels>&#65279;<?xml version="1.0" encoding="utf-8"?><Relationships xmlns="http://schemas.openxmlformats.org/package/2006/relationships"><Relationship Type="http://schemas.openxmlformats.org/officeDocument/2006/relationships/table" Target="/xl/tables/table5.xml" Id="R1d03e10fb95349e9" /></Relationships>
</file>

<file path=xl/worksheets/sheet1.xml><?xml version="1.0" encoding="utf-8"?>
<x:worksheet xmlns:x="http://schemas.openxmlformats.org/spreadsheetml/2006/main">
  <x:sheetFormatPr defaultRowHeight="15"/>
  <x:cols>
    <x:col min="1" max="1" width="6" hidden="0" customWidth="1"/>
    <x:col min="2" max="2" width="16" hidden="0" customWidth="1"/>
    <x:col min="3" max="3" width="26" hidden="0" customWidth="1"/>
    <x:col min="4" max="4" width="38" hidden="0" customWidth="1"/>
    <x:col min="5" max="5" width="12" hidden="0" customWidth="1"/>
    <x:col min="6" max="6" width="10" hidden="0" customWidth="1"/>
    <x:col min="7" max="7" width="18" hidden="0" customWidth="1"/>
    <x:col min="8" max="8" width="12" hidden="0" customWidth="1"/>
    <x:col min="9" max="9" width="12" hidden="0" customWidth="1"/>
    <x:col min="10" max="10" width="8" hidden="0" customWidth="1"/>
    <x:col min="11" max="11" width="12" hidden="0" customWidth="1"/>
    <x:col min="12" max="12" width="8" hidden="0" customWidth="1"/>
    <x:col min="13" max="13" width="8" hidden="0" customWidth="1"/>
    <x:col min="14" max="14" width="10" hidden="0" customWidth="1"/>
    <x:col min="15" max="15" width="42" hidden="0" customWidth="1"/>
    <x:col min="16" max="16" width="32" hidden="0" customWidth="1"/>
    <x:col min="17" max="17" width="34" hidden="0" customWidth="1"/>
    <x:col min="18" max="18" width="36" hidden="0" customWidth="1"/>
    <x:col min="19" max="19" width="36" hidden="0" customWidth="1"/>
    <x:col min="20" max="20" width="42" hidden="0" customWidth="1"/>
  </x:cols>
  <x:sheetData>
    <x:row r="1" ht="34" customHeight="1">
      <x:c r="A1" s="6" t="str">
        <x:v>מס׳</x:v>
      </x:c>
      <x:c r="B1" s="6" t="str">
        <x:v>טיימקוד</x:v>
      </x:c>
      <x:c r="C1" s="6" t="str">
        <x:v>רגע בשיעור</x:v>
      </x:c>
      <x:c r="D1" s="6" t="str">
        <x:v>עדות מהתמלול</x:v>
      </x:c>
      <x:c r="E1" s="6" t="str">
        <x:v>TDS</x:v>
      </x:c>
      <x:c r="F1" s="6" t="str">
        <x:v>EX</x:v>
      </x:c>
      <x:c r="G1" s="6" t="str">
        <x:v>SRL</x:v>
      </x:c>
      <x:c r="H1" s="6" t="str">
        <x:v>ST</x:v>
      </x:c>
      <x:c r="I1" s="6" t="str">
        <x:v>SCI</x:v>
      </x:c>
      <x:c r="J1" s="6" t="str">
        <x:v>TA</x:v>
      </x:c>
      <x:c r="K1" s="6" t="str">
        <x:v>MO</x:v>
      </x:c>
      <x:c r="L1" s="6" t="str">
        <x:v>Q</x:v>
      </x:c>
      <x:c r="M1" s="6" t="str">
        <x:v>EV</x:v>
      </x:c>
      <x:c r="N1" s="6" t="str">
        <x:v>Confidence</x:v>
      </x:c>
      <x:c r="O1" s="6" t="str">
        <x:v>נימוק לקידוד</x:v>
      </x:c>
      <x:c r="P1" s="6" t="str">
        <x:v>PV Notice</x:v>
      </x:c>
      <x:c r="Q1" s="6" t="str">
        <x:v>PV Describe</x:v>
      </x:c>
      <x:c r="R1" s="6" t="str">
        <x:v>PV Explain</x:v>
      </x:c>
      <x:c r="S1" s="6" t="str">
        <x:v>PV Predict</x:v>
      </x:c>
      <x:c r="T1" s="6" t="str">
        <x:v>הצעת המשך למורה</x:v>
      </x:c>
    </x:row>
    <x:row r="2">
      <x:c r="A2" s="15" t="n">
        <x:v>1</x:v>
      </x:c>
      <x:c r="B2" s="15" t="str">
        <x:v>00:04–00:22</x:v>
      </x:c>
      <x:c r="C2" s="15" t="str">
        <x:v>קריאה מונחית של סוף הפסוק והבהרת מיקום</x:v>
      </x:c>
      <x:c r="D2" s="15" t="str">
        <x:v>״תקשיבו את הסיום... עקרון זה אחת הערים הפלישתיות... באותה תקופה״</x:v>
      </x:c>
      <x:c r="E2" s="15" t="str">
        <x:v>TDS_COG</x:v>
      </x:c>
      <x:c r="F2" s="15" t="str">
        <x:v>EX_IMPL</x:v>
      </x:c>
      <x:c r="G2" s="15" t="str">
        <x:v>SRL_COG</x:v>
      </x:c>
      <x:c r="H2" s="15" t="str">
        <x:v>ST_NONE</x:v>
      </x:c>
      <x:c r="I2" s="15" t="str">
        <x:v>SCI_NONE</x:v>
      </x:c>
      <x:c r="J2" s="15" t="str">
        <x:v>TA0</x:v>
      </x:c>
      <x:c r="K2" s="15" t="str">
        <x:v>MO_NONE</x:v>
      </x:c>
      <x:c r="L2" s="15" t="str">
        <x:v>Q1</x:v>
      </x:c>
      <x:c r="M2" s="15" t="str">
        <x:v>EV2</x:v>
      </x:c>
      <x:c r="N2" s="15" t="n">
        <x:v>0.72</x:v>
      </x:c>
      <x:c r="O2" s="15" t="str">
        <x:v>המורה מכוון את התלמידים להקשבה ולפענוח מידע טקסטואלי ומרחבי מתוך הפסוק. יש כאן אסטרטגיה קוגניטיבית בסיסית של הבנת טקסט, אך היא אינה ממוסגרת כאסטרטגיית למידה מפורשת.</x:v>
      </x:c>
      <x:c r="P2" s="15" t="str">
        <x:v>המורה מסמן לתלמידים היכן לשים לב בטקסט.</x:v>
      </x:c>
      <x:c r="Q2" s="15" t="str">
        <x:v>הוא קורא את הפסוק ומסביר כי עקרון היא עיר פלישתית.</x:v>
      </x:c>
      <x:c r="R2" s="15" t="str">
        <x:v>זה תומך בעיבוד קוגניטיבי של מידע היסטורי־טקסטואלי, אך אינו דורש עדיין ניטור עצמי של הבנה.</x:v>
      </x:c>
      <x:c r="S2" s="15" t="str">
        <x:v>אם המורה יבקש מהתלמידים לסמן מילים או מקומות שמסייעים להבנת האירוע, ניתן יהיה לחזק את SRL.</x:v>
      </x:c>
      <x:c r="T2" s="15" t="str">
        <x:v>לבקש מהתלמידים לזהות בעצמם אילו מילים בפסוק עוזרות להבין היכן האירוע מתרחש.</x:v>
      </x:c>
    </x:row>
    <x:row r="3">
      <x:c r="A3" s="15" t="n">
        <x:v>2</x:v>
      </x:c>
      <x:c r="B3" s="15" t="str">
        <x:v>00:23–00:37</x:v>
      </x:c>
      <x:c r="C3" s="15" t="str">
        <x:v>אישור תגובת תלמידה וסיכום מהלך המלחמה</x:v>
      </x:c>
      <x:c r="D3" s="15" t="str">
        <x:v>״נכון, את צודקת, ממש ממש ככה... הפלישתים מתחילים לברוח, בני ישראל יוצאים אחריהם...״</x:v>
      </x:c>
      <x:c r="E3" s="15" t="str">
        <x:v>TDS_COG</x:v>
      </x:c>
      <x:c r="F3" s="15" t="str">
        <x:v>EX_IMPL</x:v>
      </x:c>
      <x:c r="G3" s="15" t="str">
        <x:v>SRL_COG</x:v>
      </x:c>
      <x:c r="H3" s="15" t="str">
        <x:v>ST_MON</x:v>
      </x:c>
      <x:c r="I3" s="15" t="str">
        <x:v>SCI_NONE</x:v>
      </x:c>
      <x:c r="J3" s="15" t="str">
        <x:v>TA1</x:v>
      </x:c>
      <x:c r="K3" s="15" t="str">
        <x:v>MO_EXPL</x:v>
      </x:c>
      <x:c r="L3" s="15" t="str">
        <x:v>Q2</x:v>
      </x:c>
      <x:c r="M3" s="15" t="str">
        <x:v>EV2</x:v>
      </x:c>
      <x:c r="N3" s="15" t="n">
        <x:v>0.78</x:v>
      </x:c>
      <x:c r="O3" s="15" t="str">
        <x:v>יש עדות לכך שתלמידה זיהתה או הבינה נכון את המשמעות, והמורה מאשר ומסכם. זה תומך בהבנת רצף האירועים, אך המורה אינו מבקש מהתלמידה להסביר איך ידעה או מה בטקסט תמך בכך.</x:v>
      </x:c>
      <x:c r="P3" s="15" t="str">
        <x:v>תלמידה מבטאת הבנה והמורה מאשר אותה.</x:v>
      </x:c>
      <x:c r="Q3" s="15" t="str">
        <x:v>המורה מחזק את התשובה ומסכם את מהלך הקרב.</x:v>
      </x:c>
      <x:c r="R3" s="15" t="str">
        <x:v>הרגע משקף ניטור הבנה ראשוני מצד תלמידה, אך אינו מעמיק לאסטרטגיה מפורשת של ביסוס תשובה בטקסט.</x:v>
      </x:c>
      <x:c r="S3" s="15" t="str">
        <x:v>שאלת המשך על מקור ההבנה יכולה לעזור לתלמידים להפוך הבנה לאסטרטגיית קריאה.</x:v>
      </x:c>
      <x:c r="T3" s="15" t="str">
        <x:v>להוסיף: ״מה בפסוק עזר לך להבין שהפלישתים נסוגים?״</x:v>
      </x:c>
    </x:row>
    <x:row r="4">
      <x:c r="A4" s="15" t="n">
        <x:v>3</x:v>
      </x:c>
      <x:c r="B4" s="15" t="str">
        <x:v>00:38–00:52</x:v>
      </x:c>
      <x:c r="C4" s="15" t="str">
        <x:v>סיכום רעיון מרכזי של הפרק</x:v>
      </x:c>
      <x:c r="D4" s="15" t="str">
        <x:v>״אבל בסוף הקצה זה שדוד הוא גיבור ישראל״</x:v>
      </x:c>
      <x:c r="E4" s="15" t="str">
        <x:v>TDS_COG</x:v>
      </x:c>
      <x:c r="F4" s="15" t="str">
        <x:v>EX_PART</x:v>
      </x:c>
      <x:c r="G4" s="15" t="str">
        <x:v>SRL_COG</x:v>
      </x:c>
      <x:c r="H4" s="15" t="str">
        <x:v>ST_NONE</x:v>
      </x:c>
      <x:c r="I4" s="15" t="str">
        <x:v>SCI_NONE</x:v>
      </x:c>
      <x:c r="J4" s="15" t="str">
        <x:v>TA0</x:v>
      </x:c>
      <x:c r="K4" s="15" t="str">
        <x:v>MO_REFL</x:v>
      </x:c>
      <x:c r="L4" s="15" t="str">
        <x:v>Q2</x:v>
      </x:c>
      <x:c r="M4" s="15" t="str">
        <x:v>EV2</x:v>
      </x:c>
      <x:c r="N4" s="15" t="n">
        <x:v>0.76</x:v>
      </x:c>
      <x:c r="O4" s="15" t="str">
        <x:v>המורה מסכם את הרעיון המרכזי ומארגן עבור התלמידים את המשמעות הכללית של הפרק. זהו מהלך קוגניטיבי של סיכום, אך ניתן היה להפוך אותו לרפלקטיבי יותר אם התלמידים היו מתבקשים לנסח בעצמם את הרעיון המרכזי.</x:v>
      </x:c>
      <x:c r="P4" s="15" t="str">
        <x:v>המורה מסמן את המסר המרכזי של הפרק.</x:v>
      </x:c>
      <x:c r="Q4" s="15" t="str">
        <x:v>הוא אומר שבסופו של דבר דוד מוצג כגיבור ישראל.</x:v>
      </x:c>
      <x:c r="R4" s="15" t="str">
        <x:v>סיכום כזה מסייע לארגון ידע, אך התלמידים עדיין אינם נדרשים לבצע את פעולת הסיכום בעצמם.</x:v>
      </x:c>
      <x:c r="S4" s="15" t="str">
        <x:v>העברת פעולת הסיכום לתלמידים יכולה לחזק רפלקציה והבניה עצמית של משמעות.</x:v>
      </x:c>
      <x:c r="T4" s="15" t="str">
        <x:v>לשאול: ״נסחו במשפט אחד מה הרעיון המרכזי של סוף הפרק.״</x:v>
      </x:c>
    </x:row>
    <x:row r="5">
      <x:c r="A5" s="15" t="n">
        <x:v>4</x:v>
      </x:c>
      <x:c r="B5" s="15" t="str">
        <x:v>00:53–01:32</x:v>
      </x:c>
      <x:c r="C5" s="15" t="str">
        <x:v>שאלת תלמיד על ההיגיון של דו־קרב במקום מלחמה</x:v>
      </x:c>
      <x:c r="D5" s="15" t="str">
        <x:v>תלמיד: ״שרק שני לוחמים... זה חייב להכריע את האירוע הזה״; מורה: ״אתה עולה על נקודה שהיא בעייתית... אולי זה גם איזושהי הצדקה, אפשר לחשוב על זה ככה״</x:v>
      </x:c>
      <x:c r="E5" s="15" t="str">
        <x:v>TDS_META</x:v>
      </x:c>
      <x:c r="F5" s="15" t="str">
        <x:v>EX_PART</x:v>
      </x:c>
      <x:c r="G5" s="15" t="str">
        <x:v>SRL_MON</x:v>
      </x:c>
      <x:c r="H5" s="15" t="str">
        <x:v>ST_HELP</x:v>
      </x:c>
      <x:c r="I5" s="15" t="str">
        <x:v>SCI_NONE</x:v>
      </x:c>
      <x:c r="J5" s="15" t="str">
        <x:v>TA2</x:v>
      </x:c>
      <x:c r="K5" s="15" t="str">
        <x:v>MO_EVID</x:v>
      </x:c>
      <x:c r="L5" s="15" t="str">
        <x:v>Q3</x:v>
      </x:c>
      <x:c r="M5" s="15" t="str">
        <x:v>EV3</x:v>
      </x:c>
      <x:c r="N5" s="15" t="n">
        <x:v>0.9</x:v>
      </x:c>
      <x:c r="O5" s="15" t="str">
        <x:v>התלמיד מעלה קושי פרשני אמיתי והמורה מזהה אותו כנקודה בעייתית. זהו רגע משמעותי של ניטור הבנה וחשיבה ביקורתית. עם זאת, חסרה הפניה מפורשת לעדות טקסטואלית או לשיטת בדיקה פרשנית.</x:v>
      </x:c>
      <x:c r="P5" s="15" t="str">
        <x:v>תלמיד מזהה קושי בהיגיון הסיפורי.</x:v>
      </x:c>
      <x:c r="Q5" s="15" t="str">
        <x:v>המורה מאשר שהשאלה נוגעת לנקודה בעייתית ומציע הסבר אפשרי.</x:v>
      </x:c>
      <x:c r="R5" s="15" t="str">
        <x:v>זהו רגע של monitoring, משום שהתלמיד בודק את הסבירות של ההסבר ומזהה פער בהבנה.</x:v>
      </x:c>
      <x:c r="S5" s="15" t="str">
        <x:v>אם המורה יחזיר את השאלה לטקסט או יבקש נימוק, ניתן להפוך את הקושי לאסטרטגיית פרשנות.</x:v>
      </x:c>
      <x:c r="T5" s="15" t="str">
        <x:v>לשאול: ״איזו עדות בפסוקים יכולה לתמוך בהסבר הזה, ואיזו עדות מקשה עליו?״</x:v>
      </x:c>
    </x:row>
    <x:row r="6">
      <x:c r="A6" s="15" t="n">
        <x:v>5</x:v>
      </x:c>
      <x:c r="B6" s="15" t="str">
        <x:v>01:35–02:12</x:v>
      </x:c>
      <x:c r="C6" s="15" t="str">
        <x:v>שאלת תלמיד על ארון הברית וחיבור לידע קודם</x:v>
      </x:c>
      <x:c r="D6" s="15" t="str">
        <x:v>״נכון, דיברנו על זה פרקים לפני כן... אתה זוכר עכשיו... שלמדנו בתחילת השנה... זה עוד מלחמה שהייתה עם הפלישתים״</x:v>
      </x:c>
      <x:c r="E6" s="15" t="str">
        <x:v>TDS_COG</x:v>
      </x:c>
      <x:c r="F6" s="15" t="str">
        <x:v>EX_PART</x:v>
      </x:c>
      <x:c r="G6" s="15" t="str">
        <x:v>SRL_COG</x:v>
      </x:c>
      <x:c r="H6" s="15" t="str">
        <x:v>ST_HELP</x:v>
      </x:c>
      <x:c r="I6" s="15" t="str">
        <x:v>SCI_NONE</x:v>
      </x:c>
      <x:c r="J6" s="15" t="str">
        <x:v>TA2</x:v>
      </x:c>
      <x:c r="K6" s="15" t="str">
        <x:v>MO_NONE</x:v>
      </x:c>
      <x:c r="L6" s="15" t="str">
        <x:v>Q3</x:v>
      </x:c>
      <x:c r="M6" s="15" t="str">
        <x:v>EV3</x:v>
      </x:c>
      <x:c r="N6" s="15" t="n">
        <x:v>0.89</x:v>
      </x:c>
      <x:c r="O6" s="15" t="str">
        <x:v>המורה משתמש בשאלת תלמיד כדי להפעיל ידע קודם ולמקם את הידע החדש ביחס לפרקים שנלמדו בעבר. זהו רגע חזק של חיבור בין יחידות ידע, גם אם לא נוסח כאסטרטגיה מפורשת.</x:v>
      </x:c>
      <x:c r="P6" s="15" t="str">
        <x:v>תלמיד שואל על קשר בין האירועים והמורה מחבר לידע קודם.</x:v>
      </x:c>
      <x:c r="Q6" s="15" t="str">
        <x:v>המורה מזכיר פרקים קודמים ותחילת שנה כדי להסביר את רצף הסיפור.</x:v>
      </x:c>
      <x:c r="R6" s="15" t="str">
        <x:v>הפעלת ידע קודם היא אסטרטגיה קוגניטיבית מרכזית שתומכת בהבנת רצף והקשר.</x:v>
      </x:c>
      <x:c r="S6" s="15" t="str">
        <x:v>כאשר תלמידים יתבקשו לבצע את החיבור בעצמם, ייתכן שתתחזק אחריותם על ארגון הידע.</x:v>
      </x:c>
      <x:c r="T6" s="15" t="str">
        <x:v>לבקש: ״סמנו על ציר הזמן איפה היה סיפור ארון הברית ואיפה נמצא סיפור דוד וגוליית.״</x:v>
      </x:c>
    </x:row>
    <x:row r="7">
      <x:c r="A7" s="15" t="n">
        <x:v>6</x:v>
      </x:c>
      <x:c r="B7" s="15" t="str">
        <x:v>02:24–02:38</x:v>
      </x:c>
      <x:c r="C7" s="15" t="str">
        <x:v>המורה מזהה קושי חוזר של תלמידים ומחליט לעצור להסבר מארגן</x:v>
      </x:c>
      <x:c r="D7" s="15" t="str">
        <x:v>״אני רוצה רגע שנעבור על איזה שהוא משהו... שגם פה שאלתם אותי כמה פעמים...״</x:v>
      </x:c>
      <x:c r="E7" s="15" t="str">
        <x:v>TDS_META</x:v>
      </x:c>
      <x:c r="F7" s="15" t="str">
        <x:v>EX_PART</x:v>
      </x:c>
      <x:c r="G7" s="15" t="str">
        <x:v>SRL_MON</x:v>
      </x:c>
      <x:c r="H7" s="15" t="str">
        <x:v>ST_NONE</x:v>
      </x:c>
      <x:c r="I7" s="15" t="str">
        <x:v>SCI_NONE</x:v>
      </x:c>
      <x:c r="J7" s="15" t="str">
        <x:v>TA3</x:v>
      </x:c>
      <x:c r="K7" s="15" t="str">
        <x:v>MO_NONE</x:v>
      </x:c>
      <x:c r="L7" s="15" t="str">
        <x:v>Q3</x:v>
      </x:c>
      <x:c r="M7" s="15" t="str">
        <x:v>EV3</x:v>
      </x:c>
      <x:c r="N7" s="15" t="n">
        <x:v>0.92</x:v>
      </x:c>
      <x:c r="O7" s="15" t="str">
        <x:v>המורה מזהה דפוס חוזר של שאלות ומבצע התאמת הוראה יזומה. זהו רגע SRL משמעותי משום שהוא מתייחס לבלבול מתמשך ומנסה לבנות כלי מארגן להבנה.</x:v>
      </x:c>
      <x:c r="P7" s="15" t="str">
        <x:v>המורה מבחין בקושי חוזר בכיתה.</x:v>
      </x:c>
      <x:c r="Q7" s="15" t="str">
        <x:v>הוא אומר שהתלמידים שאלו זאת כמה פעמים ולכן הוא רוצה לעצור ולעבור על הנושא.</x:v>
      </x:c>
      <x:c r="R7" s="15" t="str">
        <x:v>זוהי התאמה חזקה המבוססת על עדות תלמידים, והיא מכוונת לשיפור ניטור והבנה של רצף.</x:v>
      </x:c>
      <x:c r="S7" s="15" t="str">
        <x:v>הצגת המהלך ככלי לתלמידים יכולה לעזור להם להשתמש בו עצמאית בהמשך.</x:v>
      </x:c>
      <x:c r="T7" s="15" t="str">
        <x:v>לנסח: ״כאשר אתם מתבלבלים ברצף, נשתמש בציר זמן כדי לבדוק איפה אנחנו נמצאים.״</x:v>
      </x:c>
    </x:row>
    <x:row r="8">
      <x:c r="A8" s="15" t="n">
        <x:v>7</x:v>
      </x:c>
      <x:c r="B8" s="15" t="str">
        <x:v>02:39–02:58</x:v>
      </x:c>
      <x:c r="C8" s="15" t="str">
        <x:v>הגדרת מטרת הבנה: לפני/אחרי יציאת מצרים</x:v>
      </x:c>
      <x:c r="D8" s="15" t="str">
        <x:v>״האם זה קרה? האם זה היה לפני או אחרי יציאת מצרים... זה שאלה שהיא נקודה שהיא קצת מבלבלת... זה מאוד מאוד קריטי להבנה שלכם את החומר״</x:v>
      </x:c>
      <x:c r="E8" s="15" t="str">
        <x:v>TDS_META</x:v>
      </x:c>
      <x:c r="F8" s="15" t="str">
        <x:v>EX_EXPL</x:v>
      </x:c>
      <x:c r="G8" s="15" t="str">
        <x:v>SRL_GOAL; SRL_MON</x:v>
      </x:c>
      <x:c r="H8" s="15" t="str">
        <x:v>ST_NONE</x:v>
      </x:c>
      <x:c r="I8" s="15" t="str">
        <x:v>SCI_NONE</x:v>
      </x:c>
      <x:c r="J8" s="15" t="str">
        <x:v>TA3</x:v>
      </x:c>
      <x:c r="K8" s="15" t="str">
        <x:v>MO_NONE</x:v>
      </x:c>
      <x:c r="L8" s="15" t="str">
        <x:v>Q3</x:v>
      </x:c>
      <x:c r="M8" s="15" t="str">
        <x:v>EV3</x:v>
      </x:c>
      <x:c r="N8" s="15" t="n">
        <x:v>0.95</x:v>
      </x:c>
      <x:c r="O8" s="15" t="str">
        <x:v>המורה מגדיר במפורש את נקודת הבלבול ואת מטרת ההסבר: להבין היכן האירוע ממוקם ברצף. זהו שילוב של הגדרת מטרה וניטור קושי, ולכן זה רגע חזק מאוד של טיפוח הכוונה עצמית בלמידה.</x:v>
      </x:c>
      <x:c r="P8" s="15" t="str">
        <x:v>המורה מגדיר בעיית הבנה מרכזית.</x:v>
      </x:c>
      <x:c r="Q8" s="15" t="str">
        <x:v>הוא מציין שהשאלה של לפני/אחרי יציאת מצרים מבלבלת וקריטית להבנת החומר.</x:v>
      </x:c>
      <x:c r="R8" s="15" t="str">
        <x:v>הבהרת הקושי ומטרת הלמידה עוזרת לתלמידים לדעת מה עליהם לנטר ומה הם אמורים להבין.</x:v>
      </x:c>
      <x:c r="S8" s="15" t="str">
        <x:v>אם התלמידים יבדקו בעצמם את המיקום על הציר, ייתכן שיתפתח ניטור עצמאי יותר.</x:v>
      </x:c>
      <x:c r="T8" s="15" t="str">
        <x:v>לתת לתלמידים משימה קצרה: ״כתבו איפה אתם חושבים שהסיפור נמצא על הציר ולמה.״</x:v>
      </x:c>
    </x:row>
    <x:row r="9">
      <x:c r="A9" s="15" t="n">
        <x:v>8</x:v>
      </x:c>
      <x:c r="B9" s="15" t="str">
        <x:v>02:59–03:10</x:v>
      </x:c>
      <x:c r="C9" s="15" t="str">
        <x:v>הצורך בציר מארגן בגלל תנועה קדימה ואחורה בחומר</x:v>
      </x:c>
      <x:c r="D9" s="15" t="str">
        <x:v>״אני רוצה שתבינו איפה כל הסיפור הזה מתרחש... אני מרגיש שאנחנו הולכים קדימה ואחורה וזה לא מספיק ברור״</x:v>
      </x:c>
      <x:c r="E9" s="15" t="str">
        <x:v>TDS_META</x:v>
      </x:c>
      <x:c r="F9" s="15" t="str">
        <x:v>EX_EXPL</x:v>
      </x:c>
      <x:c r="G9" s="15" t="str">
        <x:v>SRL_MON; SRL_COG</x:v>
      </x:c>
      <x:c r="H9" s="15" t="str">
        <x:v>ST_NONE</x:v>
      </x:c>
      <x:c r="I9" s="15" t="str">
        <x:v>SCI_NONE</x:v>
      </x:c>
      <x:c r="J9" s="15" t="str">
        <x:v>TA3</x:v>
      </x:c>
      <x:c r="K9" s="15" t="str">
        <x:v>MO_NONE</x:v>
      </x:c>
      <x:c r="L9" s="15" t="str">
        <x:v>Q3</x:v>
      </x:c>
      <x:c r="M9" s="15" t="str">
        <x:v>EV3</x:v>
      </x:c>
      <x:c r="N9" s="15" t="n">
        <x:v>0.94</x:v>
      </x:c>
      <x:c r="O9" s="15" t="str">
        <x:v>המורה מנמק מדוע נדרש כלי מארגן: התנועה בין אירועים יוצרת חוסר בהירות. זהו רגע מפורש של ניטור הבנה ושל הצגת צורך באסטרטגיית ארגון מידע.</x:v>
      </x:c>
      <x:c r="P9" s="15" t="str">
        <x:v>המורה מסביר מדוע נדרש ציר זמן.</x:v>
      </x:c>
      <x:c r="Q9" s="15" t="str">
        <x:v>הוא אומר שהתנועה קדימה ואחורה אינה מספיק ברורה ולכן חשוב להבין היכן הסיפור מתרחש.</x:v>
      </x:c>
      <x:c r="R9" s="15" t="str">
        <x:v>הציר משמש כאסטרטגיה קוגניטיבית לניהול רצף וככלי לניטור מיקום האירועים.</x:v>
      </x:c>
      <x:c r="S9" s="15" t="str">
        <x:v>שימוש חוזר בציר יכול להפוך לכלי של תלמידים לבדיקה עצמית.</x:v>
      </x:c>
      <x:c r="T9" s="15" t="str">
        <x:v>לומר: ״בכל פעם שנרגיש בלבול ברצף, נעצור ונמקם את האירוע על הציר.״</x:v>
      </x:c>
    </x:row>
    <x:row r="10">
      <x:c r="A10" s="15" t="n">
        <x:v>9</x:v>
      </x:c>
      <x:c r="B10" s="15" t="str">
        <x:v>03:10–03:21</x:v>
      </x:c>
      <x:c r="C10" s="15" t="str">
        <x:v>הגדרת קריטריון מקור: לפי התנ״ך ולא לפי חוויות אישיות</x:v>
      </x:c>
      <x:c r="D10" s="15" t="str">
        <x:v>״את הציר המקראי שלנו לפי התנך... לא לפי מה שאנחנו מכירים מהחוויות האישיות שלנו... לפי התנך״</x:v>
      </x:c>
      <x:c r="E10" s="15" t="str">
        <x:v>TDS_META</x:v>
      </x:c>
      <x:c r="F10" s="15" t="str">
        <x:v>EX_PART</x:v>
      </x:c>
      <x:c r="G10" s="15" t="str">
        <x:v>SRL_MON</x:v>
      </x:c>
      <x:c r="H10" s="15" t="str">
        <x:v>ST_NONE</x:v>
      </x:c>
      <x:c r="I10" s="15" t="str">
        <x:v>SCI_NONE</x:v>
      </x:c>
      <x:c r="J10" s="15" t="str">
        <x:v>TA0</x:v>
      </x:c>
      <x:c r="K10" s="15" t="str">
        <x:v>MO_EVID</x:v>
      </x:c>
      <x:c r="L10" s="15" t="str">
        <x:v>Q2</x:v>
      </x:c>
      <x:c r="M10" s="15" t="str">
        <x:v>EV3</x:v>
      </x:c>
      <x:c r="N10" s="15" t="n">
        <x:v>0.88</x:v>
      </x:c>
      <x:c r="O10" s="15" t="str">
        <x:v>המורה מציב קריטריון חשוב להבנה: ההסתכלות תהיה לפי המקור המקראי ולא לפי ידע או אמונות חיצוניות. זהו ניטור של מקור הידע, אך ניתן היה להעמיק באמצעות דרישה מהתלמידים לבסס תשובות בטקסט.</x:v>
      </x:c>
      <x:c r="P10" s="15" t="str">
        <x:v>המורה מבחין בין סוגי מקורות ידע.</x:v>
      </x:c>
      <x:c r="Q10" s="15" t="str">
        <x:v>הוא מדגיש שהציר ייבנה לפי התנ״ך ולא לפי חוויות או אמונות אישיות.</x:v>
      </x:c>
      <x:c r="R10" s="15" t="str">
        <x:v>זה תומך בבקרה על מקור המידע ובדיוק פרשני, רכיב מטה־קוגניטיבי משמעותי.</x:v>
      </x:c>
      <x:c r="S10" s="15" t="str">
        <x:v>דרישה לביסוס מתוך הטקסט תחזק שימוש עצמאי בקריטריונים.</x:v>
      </x:c>
      <x:c r="T10" s="15" t="str">
        <x:v>להוסיף: ״ליד כל אירוע נכתוב פסוק או פרק שמבסס את המיקום שלו.״</x:v>
      </x:c>
    </x:row>
    <x:row r="11">
      <x:c r="A11" s="15" t="n">
        <x:v>10</x:v>
      </x:c>
      <x:c r="B11" s="15" t="str">
        <x:v>03:21–03:27</x:v>
      </x:c>
      <x:c r="C11" s="15" t="str">
        <x:v>הפעלת ידע קודם בתחילת בניית הציר</x:v>
      </x:c>
      <x:c r="D11" s="15" t="str">
        <x:v>״כמו שלמדנו קצת בתחילת השנה. מה הדבר הראשון שקורה?״ תלמיד: ״העולם״; מורה: ״מעולה״</x:v>
      </x:c>
      <x:c r="E11" s="15" t="str">
        <x:v>TDS_COG</x:v>
      </x:c>
      <x:c r="F11" s="15" t="str">
        <x:v>EX_IMPL</x:v>
      </x:c>
      <x:c r="G11" s="15" t="str">
        <x:v>SRL_COG</x:v>
      </x:c>
      <x:c r="H11" s="15" t="str">
        <x:v>ST_MON</x:v>
      </x:c>
      <x:c r="I11" s="15" t="str">
        <x:v>SCI_NONE</x:v>
      </x:c>
      <x:c r="J11" s="15" t="str">
        <x:v>TA1</x:v>
      </x:c>
      <x:c r="K11" s="15" t="str">
        <x:v>MO_EXPL</x:v>
      </x:c>
      <x:c r="L11" s="15" t="str">
        <x:v>Q2</x:v>
      </x:c>
      <x:c r="M11" s="15" t="str">
        <x:v>EV2</x:v>
      </x:c>
      <x:c r="N11" s="15" t="n">
        <x:v>0.8</x:v>
      </x:c>
      <x:c r="O11" s="15" t="str">
        <x:v>המורה מפעיל ידע קודם באמצעות שאלת שליפה ומקבל תשובת תלמיד. זהו רגע של ארגון ידע ורצף, אך היה אפשר להפוך אותו לאסטרטגי יותר על ידי בקשה להסביר מדוע זה האירוע הראשון בציר.</x:v>
      </x:c>
      <x:c r="P11" s="15" t="str">
        <x:v>המורה מתחיל לבנות את הציר באמצעות שאלת שליפה.</x:v>
      </x:c>
      <x:c r="Q11" s="15" t="str">
        <x:v>התלמיד עונה ״העולם״ והמורה מאשר.</x:v>
      </x:c>
      <x:c r="R11" s="15" t="str">
        <x:v>הפעלת ידע קודם עוזרת לתלמידים לבנות רצף ולמקם ידע חדש ביחס לידוע.</x:v>
      </x:c>
      <x:c r="S11" s="15" t="str">
        <x:v>שאלת נימוק יכולה לחזק בקרה עצמית והבנת מבנה הציר.</x:v>
      </x:c>
      <x:c r="T11" s="15" t="str">
        <x:v>לשאול: ״איך אנחנו יודעים שזה האירוע הראשון בציר המקראי?״</x:v>
      </x:c>
    </x:row>
    <x:row r="12">
      <x:c r="A12" s="15" t="n">
        <x:v>11</x:v>
      </x:c>
      <x:c r="B12" s="15" t="str">
        <x:v>03:31–03:50</x:v>
      </x:c>
      <x:c r="C12" s="15" t="str">
        <x:v>הפסקה הומוריסטית וניהול כיתתי סביב הצגה</x:v>
      </x:c>
      <x:c r="D12" s="15" t="str">
        <x:v>״תודה שאתה דואג לי... אני עושה בכוונה... לא שיחקתי לכם אף פעם... אתה לא פה האח הגדול חביבי״</x:v>
      </x:c>
      <x:c r="E12" s="15" t="str">
        <x:v>TDS_NONE</x:v>
      </x:c>
      <x:c r="F12" s="15" t="str">
        <x:v>EX_NA</x:v>
      </x:c>
      <x:c r="G12" s="15" t="str">
        <x:v>SRL_NONE</x:v>
      </x:c>
      <x:c r="H12" s="15" t="str">
        <x:v>ST_NONE</x:v>
      </x:c>
      <x:c r="I12" s="15" t="str">
        <x:v>SCI_NONE</x:v>
      </x:c>
      <x:c r="J12" s="15" t="str">
        <x:v>TA1</x:v>
      </x:c>
      <x:c r="K12" s="15" t="str">
        <x:v>MO_NONE</x:v>
      </x:c>
      <x:c r="L12" s="15" t="str">
        <x:v>Q0</x:v>
      </x:c>
      <x:c r="M12" s="15" t="str">
        <x:v>EV2</x:v>
      </x:c>
      <x:c r="N12" s="15" t="n">
        <x:v>0.7</x:v>
      </x:c>
      <x:c r="O12" s="15" t="str">
        <x:v>זהו רגע של ניהול כיתה ואקלים, כנראה סביב המחשה או משחק שהמורה עושה. אין די עדות בתמלול לכך שהרגע מקדם SRL, ולכן אינו מקודד כרגע SRL.</x:v>
      </x:c>
      <x:c r="P12" s="15" t="str">
        <x:v>מתרחש מעבר קצר לניהול שיח והומור.</x:v>
      </x:c>
      <x:c r="Q12" s="15" t="str">
        <x:v>המורה מתייחס להערות תלמידים על יכולות המשחק שלו.</x:v>
      </x:c>
      <x:c r="R12" s="15" t="str">
        <x:v>אף שהאקלים חיובי, אין עדות ברורה לתכנון, ניטור, אסטרטגיה או רפלקציה.</x:v>
      </x:c>
      <x:c r="S12" s="15" t="str">
        <x:v>אם ההמחשה משמשת לבניית ציר או ייצוג, ניתן יהיה לקודד זאת רק לאחר צפייה בווידאו.</x:v>
      </x:c>
      <x:c r="T12" s="15" t="str">
        <x:v>אם זה חלק מהמחשה, להוסיף בתמלול/וידאו מה בדיוק המורה מדגים כדי לקודד את המהלך כייצוג חזותי.</x:v>
      </x:c>
    </x:row>
  </x:sheetData>
  <x:pageMargins left="0.7" right="0.7" top="0.75" bottom="0.75" header="0.3" footer="0.3"/>
  <x:tableParts count="1">
    <x:tablePart xmlns:r="http://schemas.openxmlformats.org/officeDocument/2006/relationships" r:id="Re15ea0dbace049e0"/>
  </x:tableParts>
</x:worksheet>
</file>

<file path=xl/worksheets/sheet2.xml><?xml version="1.0" encoding="utf-8"?>
<x:worksheet xmlns:x="http://schemas.openxmlformats.org/spreadsheetml/2006/main">
  <x:sheetFormatPr defaultRowHeight="15"/>
  <x:cols>
    <x:col min="1" max="1" width="34" hidden="0" customWidth="1"/>
    <x:col min="2" max="2" width="34" hidden="0" customWidth="1"/>
    <x:col min="3" max="3" width="34" hidden="0" customWidth="1"/>
  </x:cols>
  <x:sheetData>
    <x:row r="1">
      <x:c r="A1" s="5" t="str">
        <x:v>קטגוריה</x:v>
      </x:c>
      <x:c r="B1" s="5" t="str">
        <x:v>ממצא מסכם</x:v>
      </x:c>
      <x:c r="C1" s="5" t="str">
        <x:v>נימוק</x:v>
      </x:c>
    </x:row>
    <x:row r="2">
      <x:c r="A2" s="23" t="str">
        <x:v>אופי הקטע</x:v>
      </x:c>
      <x:c r="B2" s="23" t="str">
        <x:v>חלק קצר מאוד מתוך שיעור תנ״ך, כ־3:50 דקות</x:v>
      </x:c>
      <x:c r="C2" s="23" t="str">
        <x:v>לכן דירוגי שיעור שלם מוגבלים ויש לפרשם בזהירות.</x:v>
      </x:c>
    </x:row>
    <x:row r="3">
      <x:c r="A3" s="23" t="str">
        <x:v>דפוס SRL מרכזי</x:v>
      </x:c>
      <x:c r="B3" s="23" t="str">
        <x:v>ניטור הבנה וארגון ידע על ציר זמן</x:v>
      </x:c>
      <x:c r="C3" s="23" t="str">
        <x:v>המורה מזהה בלבול חוזר סביב רצף מקראי ומציע מהלך מארגן.</x:v>
      </x:c>
    </x:row>
    <x:row r="4">
      <x:c r="A4" s="23" t="str">
        <x:v>סוג הוראה דומיננטי</x:v>
      </x:c>
      <x:c r="B4" s="23" t="str">
        <x:v>TDS_META ו־TDS_COG</x:v>
      </x:c>
      <x:c r="C4" s="23" t="str">
        <x:v>המורה גם מסביר תוכן וגם מסייע לתלמידים להבין איך לארגן את הרצף ולזהות נקודות בלבול.</x:v>
      </x:c>
    </x:row>
    <x:row r="5">
      <x:c r="A5" s="23" t="str">
        <x:v>רמת מפורשות</x:v>
      </x:c>
      <x:c r="B5" s="23" t="str">
        <x:v>בעיקר EX_PART עד EX_EXPL</x:v>
      </x:c>
      <x:c r="C5" s="23" t="str">
        <x:v>בחלק מהאפיזודות המורה מציין במפורש את הקושי ואת הצורך להבין את המיקום ברצף.</x:v>
      </x:c>
    </x:row>
    <x:row r="6">
      <x:c r="A6" s="23" t="str">
        <x:v>עדויות תלמידים</x:v>
      </x:c>
      <x:c r="B6" s="23" t="str">
        <x:v>ST_HELP ו־ST_MON ברמה מתפתחת</x:v>
      </x:c>
      <x:c r="C6" s="23" t="str">
        <x:v>התלמידים שואלים שאלות שמבטאות קושי, בלבול וניסיון להבין את רצף האירועים.</x:v>
      </x:c>
    </x:row>
    <x:row r="7">
      <x:c r="A7" s="23" t="str">
        <x:v>התאמת הוראה</x:v>
      </x:c>
      <x:c r="B7" s="23" t="str">
        <x:v>TA3 באפיזודות המרכזיות</x:v>
      </x:c>
      <x:c r="C7" s="23" t="str">
        <x:v>המורה משנה את מהלך השיעור עקב שאלות חוזרות ומייצר הסבר מארגן.</x:v>
      </x:c>
    </x:row>
    <x:row r="8">
      <x:c r="A8" s="23" t="str">
        <x:v>קודים מדעיים</x:v>
      </x:c>
      <x:c r="B8" s="23" t="str">
        <x:v>SCI_NONE</x:v>
      </x:c>
      <x:c r="C8" s="23" t="str">
        <x:v>הקטע הוא שיעור תנ״ך ולא שיעור מדעים; לכן לא הופעלו קודי science-specific SRL.</x:v>
      </x:c>
    </x:row>
    <x:row r="9">
      <x:c r="A9" s="23" t="str">
        <x:v>הזדמנות מרכזית לשיפור</x:v>
      </x:c>
      <x:c r="B9" s="23" t="str">
        <x:v>להעביר יותר אחריות לתלמידים בבניית הציר</x:v>
      </x:c>
      <x:c r="C9" s="23" t="str">
        <x:v>המורה מגדיר היטב את הבלבול, אך אפשר לבקש מהתלמידים למקם אירועים ולבסס אותם בטקסט.</x:v>
      </x:c>
    </x:row>
    <x:row r="10">
      <x:c r="A10" s="23" t="str">
        <x:v>המלצת המשך</x:v>
      </x:c>
      <x:c r="B10" s="23" t="str">
        <x:v>להפוך את ציר הזמן לאסטרטגיית ניטור מפורשת</x:v>
      </x:c>
      <x:c r="C10" s="23" t="str">
        <x:v>לנסח יחד כלל עבודה: כשמתבלבלים ברצף, עוצרים, ממקמים את האירוע על הציר, ומביאים ראיה מהטקסט.</x:v>
      </x:c>
    </x:row>
    <x:row r="13">
      <x:c r="A13" s="29" t="str">
        <x:v>קוד</x:v>
      </x:c>
      <x:c r="B13" s="29" t="str">
        <x:v>ספירה</x:v>
      </x:c>
    </x:row>
    <x:row r="14">
      <x:c r="A14" s="34" t="str">
        <x:v>TDS_COG</x:v>
      </x:c>
      <x:c r="B14" s="34" t="n">
        <x:f>COUNTIF('SCOPE Coding'!$E:$T,"*TDS_COG*")</x:f>
        <x:v>0</x:v>
      </x:c>
    </x:row>
    <x:row r="15">
      <x:c r="A15" s="34" t="str">
        <x:v>TDS_META</x:v>
      </x:c>
      <x:c r="B15" s="34" t="n">
        <x:f>COUNTIF('SCOPE Coding'!$E:$T,"*TDS_META*")</x:f>
        <x:v>0</x:v>
      </x:c>
    </x:row>
    <x:row r="16">
      <x:c r="A16" s="34" t="str">
        <x:v>TDS_NONE</x:v>
      </x:c>
      <x:c r="B16" s="34" t="n">
        <x:f>COUNTIF('SCOPE Coding'!$E:$T,"*TDS_NONE*")</x:f>
        <x:v>0</x:v>
      </x:c>
    </x:row>
    <x:row r="17">
      <x:c r="A17" s="34" t="str">
        <x:v>EX_IMPL</x:v>
      </x:c>
      <x:c r="B17" s="34" t="n">
        <x:f>COUNTIF('SCOPE Coding'!$E:$T,"*EX_IMPL*")</x:f>
        <x:v>0</x:v>
      </x:c>
    </x:row>
    <x:row r="18">
      <x:c r="A18" s="34" t="str">
        <x:v>EX_PART</x:v>
      </x:c>
      <x:c r="B18" s="34" t="n">
        <x:f>COUNTIF('SCOPE Coding'!$E:$T,"*EX_PART*")</x:f>
        <x:v>0</x:v>
      </x:c>
    </x:row>
    <x:row r="19">
      <x:c r="A19" s="34" t="str">
        <x:v>EX_EXPL</x:v>
      </x:c>
      <x:c r="B19" s="34" t="n">
        <x:f>COUNTIF('SCOPE Coding'!$E:$T,"*EX_EXPL*")</x:f>
        <x:v>0</x:v>
      </x:c>
    </x:row>
    <x:row r="20">
      <x:c r="A20" s="34" t="str">
        <x:v>SRL_COG</x:v>
      </x:c>
      <x:c r="B20" s="34" t="n">
        <x:f>COUNTIF('SCOPE Coding'!$E:$T,"*SRL_COG*")</x:f>
        <x:v>0</x:v>
      </x:c>
    </x:row>
    <x:row r="21">
      <x:c r="A21" s="34" t="str">
        <x:v>SRL_MON</x:v>
      </x:c>
      <x:c r="B21" s="34" t="n">
        <x:f>COUNTIF('SCOPE Coding'!$E:$T,"*SRL_MON*")</x:f>
        <x:v>0</x:v>
      </x:c>
    </x:row>
    <x:row r="22">
      <x:c r="A22" s="34" t="str">
        <x:v>SRL_GOAL</x:v>
      </x:c>
      <x:c r="B22" s="34" t="n">
        <x:f>COUNTIF('SCOPE Coding'!$E:$T,"*SRL_GOAL*")</x:f>
        <x:v>0</x:v>
      </x:c>
    </x:row>
    <x:row r="23">
      <x:c r="A23" s="34" t="str">
        <x:v>ST_HELP</x:v>
      </x:c>
      <x:c r="B23" s="34" t="n">
        <x:f>COUNTIF('SCOPE Coding'!$E:$T,"*ST_HELP*")</x:f>
        <x:v>0</x:v>
      </x:c>
    </x:row>
    <x:row r="24">
      <x:c r="A24" s="34" t="str">
        <x:v>ST_MON</x:v>
      </x:c>
      <x:c r="B24" s="34" t="n">
        <x:f>COUNTIF('SCOPE Coding'!$E:$T,"*ST_MON*")</x:f>
        <x:v>0</x:v>
      </x:c>
    </x:row>
    <x:row r="25">
      <x:c r="A25" s="34" t="str">
        <x:v>TA3</x:v>
      </x:c>
      <x:c r="B25" s="34" t="n">
        <x:f>COUNTIF('SCOPE Coding'!$E:$T,"*TA3*")</x:f>
        <x:v>0</x:v>
      </x:c>
    </x:row>
    <x:row r="26">
      <x:c r="A26" s="34" t="str">
        <x:v>MO_NONE</x:v>
      </x:c>
      <x:c r="B26" s="34" t="n">
        <x:f>COUNTIF('SCOPE Coding'!$E:$T,"*MO_NONE*")</x:f>
        <x:v>0</x:v>
      </x:c>
    </x:row>
    <x:row r="27">
      <x:c r="A27" s="34" t="str">
        <x:v>MO_EXPL</x:v>
      </x:c>
      <x:c r="B27" s="34" t="n">
        <x:f>COUNTIF('SCOPE Coding'!$E:$T,"*MO_EXPL*")</x:f>
        <x:v>0</x:v>
      </x:c>
    </x:row>
    <x:row r="28">
      <x:c r="A28" s="34" t="str">
        <x:v>MO_EVID</x:v>
      </x:c>
      <x:c r="B28" s="34" t="n">
        <x:f>COUNTIF('SCOPE Coding'!$E:$T,"*MO_EVID*")</x:f>
        <x:v>0</x:v>
      </x:c>
    </x:row>
    <x:row r="29">
      <x:c r="A29" s="34" t="str">
        <x:v>Q3</x:v>
      </x:c>
      <x:c r="B29" s="34" t="n">
        <x:f>COUNTIF('SCOPE Coding'!$E:$T,"*Q3*")</x:f>
        <x:v>0</x:v>
      </x:c>
    </x:row>
    <x:row r="30">
      <x:c r="A30" s="34" t="str">
        <x:v>Q2</x:v>
      </x:c>
      <x:c r="B30" s="34" t="n">
        <x:f>COUNTIF('SCOPE Coding'!$E:$T,"*Q2*")</x:f>
        <x:v>0</x:v>
      </x:c>
    </x:row>
    <x:row r="31">
      <x:c r="A31" s="34" t="str">
        <x:v>Q1</x:v>
      </x:c>
      <x:c r="B31" s="34" t="n">
        <x:f>COUNTIF('SCOPE Coding'!$E:$T,"*Q1*")</x:f>
        <x:v>0</x:v>
      </x:c>
    </x:row>
    <x:row r="32">
      <x:c r="A32" s="34" t="str">
        <x:v>Q0</x:v>
      </x:c>
      <x:c r="B32" s="34" t="n">
        <x:f>COUNTIF('SCOPE Coding'!$E:$T,"*Q0*")</x:f>
        <x:v>0</x:v>
      </x:c>
    </x:row>
  </x:sheetData>
  <x:pageMargins left="0.7" right="0.7" top="0.75" bottom="0.75" header="0.3" footer="0.3"/>
  <x:tableParts count="1">
    <x:tablePart xmlns:r="http://schemas.openxmlformats.org/officeDocument/2006/relationships" r:id="Rb95fc5799a1544e2"/>
  </x:tableParts>
</x:worksheet>
</file>

<file path=xl/worksheets/sheet3.xml><?xml version="1.0" encoding="utf-8"?>
<x:worksheet xmlns:x="http://schemas.openxmlformats.org/spreadsheetml/2006/main">
  <x:sheetFormatPr defaultRowHeight="15"/>
  <x:cols>
    <x:col min="1" max="1" width="16" hidden="0" customWidth="1"/>
    <x:col min="2" max="2" width="12" hidden="0" customWidth="1"/>
    <x:col min="3" max="3" width="32" hidden="0" customWidth="1"/>
    <x:col min="4" max="4" width="52" hidden="0" customWidth="1"/>
  </x:cols>
  <x:sheetData>
    <x:row r="1">
      <x:c r="A1" s="5" t="str">
        <x:v>קוד LE</x:v>
      </x:c>
      <x:c r="B1" s="5" t="str">
        <x:v>דירוג 1–4</x:v>
      </x:c>
      <x:c r="C1" s="5" t="str">
        <x:v>פירוש בדגימה הנוכחית</x:v>
      </x:c>
      <x:c r="D1" s="5" t="str">
        <x:v>נימוק</x:v>
      </x:c>
    </x:row>
    <x:row r="2">
      <x:c r="A2" s="23" t="str">
        <x:v>LE_COOP_USE</x:v>
      </x:c>
      <x:c r="B2" s="23" t="n">
        <x:v>1</x:v>
      </x:c>
      <x:c r="C2" s="23" t="str">
        <x:v>לא נצפתה עבודה שיתופית</x:v>
      </x:c>
      <x:c r="D2" s="23" t="str">
        <x:v>בתמלול אין עדות לעבודה בזוגות או בקבוצות.</x:v>
      </x:c>
    </x:row>
    <x:row r="3">
      <x:c r="A3" s="23" t="str">
        <x:v>LE_COOP_QUAL</x:v>
      </x:c>
      <x:c r="B3" s="23" t="n">
        <x:v>1</x:v>
      </x:c>
      <x:c r="C3" s="23" t="str">
        <x:v>לא ניתן להעריך איכות שיתוף פעולה</x:v>
      </x:c>
      <x:c r="D3" s="23" t="str">
        <x:v>אין אינטראקציה שיתופית מתועדת.</x:v>
      </x:c>
    </x:row>
    <x:row r="4">
      <x:c r="A4" s="23" t="str">
        <x:v>LE_PRIOR</x:v>
      </x:c>
      <x:c r="B4" s="23" t="n">
        <x:v>4</x:v>
      </x:c>
      <x:c r="C4" s="23" t="str">
        <x:v>הפעלה חזקה של ידע קודם</x:v>
      </x:c>
      <x:c r="D4" s="23" t="str">
        <x:v>המורה חוזר לפרקים קודמים ולתחילת השנה כדי לחבר את ארון הברית ואת הציר המקראי.</x:v>
      </x:c>
    </x:row>
    <x:row r="5">
      <x:c r="A5" s="23" t="str">
        <x:v>LE_CONTEXT</x:v>
      </x:c>
      <x:c r="B5" s="23" t="n">
        <x:v>3</x:v>
      </x:c>
      <x:c r="C5" s="23" t="str">
        <x:v>הקשר משמעותי להבנת רצף</x:v>
      </x:c>
      <x:c r="D5" s="23" t="str">
        <x:v>המורה מסביר שהמיקום בציר קריטי להבנת החומר.</x:v>
      </x:c>
    </x:row>
    <x:row r="6">
      <x:c r="A6" s="23" t="str">
        <x:v>LE_OPEN</x:v>
      </x:c>
      <x:c r="B6" s="23" t="n">
        <x:v>1</x:v>
      </x:c>
      <x:c r="C6" s="23" t="str">
        <x:v>אין בעיה פתוחה או מורכבת כמשימה לתלמידים</x:v>
      </x:c>
      <x:c r="D6" s="23" t="str">
        <x:v>השיח מונחה בעיקר על ידי המורה.</x:v>
      </x:c>
    </x:row>
    <x:row r="7">
      <x:c r="A7" s="23" t="str">
        <x:v>LE_REAL</x:v>
      </x:c>
      <x:c r="B7" s="23" t="n">
        <x:v>1</x:v>
      </x:c>
      <x:c r="C7" s="23" t="str">
        <x:v>אין הקשר אותנטי או חיי יום־יום</x:v>
      </x:c>
      <x:c r="D7" s="23" t="str">
        <x:v>הדיון נשאר בתוך הרצף המקראי.</x:v>
      </x:c>
    </x:row>
    <x:row r="8">
      <x:c r="A8" s="23" t="str">
        <x:v>LE_MULTI</x:v>
      </x:c>
      <x:c r="B8" s="23" t="n">
        <x:v>2</x:v>
      </x:c>
      <x:c r="C8" s="23" t="str">
        <x:v>יש הבחנה בין מקורות מבט שונים</x:v>
      </x:c>
      <x:c r="D8" s="23" t="str">
        <x:v>המורה מבחין בין ״לפי התנ״ך״ לבין חוויות/אמונות, אך לא מפתח דיון רב־פרספקטיבי.</x:v>
      </x:c>
    </x:row>
    <x:row r="9">
      <x:c r="A9" s="23" t="str">
        <x:v>LE_RESP</x:v>
      </x:c>
      <x:c r="B9" s="23" t="n">
        <x:v>2</x:v>
      </x:c>
      <x:c r="C9" s="23" t="str">
        <x:v>אחריות תלמידים מוגבלת</x:v>
      </x:c>
      <x:c r="D9" s="23" t="str">
        <x:v>תלמידים שואלים שאלות, אך המורה הוא שמארגן את הציר ואת ההסבר.</x:v>
      </x:c>
    </x:row>
    <x:row r="10">
      <x:c r="A10" s="23" t="str">
        <x:v>LE_BALANCE</x:v>
      </x:c>
      <x:c r="B10" s="23" t="n">
        <x:v>2</x:v>
      </x:c>
      <x:c r="C10" s="23" t="str">
        <x:v>בעיקר מורה־מכוון עם פתיחות לשאלות</x:v>
      </x:c>
      <x:c r="D10" s="23" t="str">
        <x:v>המורה מגיב לשאלות תלמידים, אך השליטה במבנה השיעור נשארת בעיקר שלו.</x:v>
      </x:c>
    </x:row>
  </x:sheetData>
  <x:pageMargins left="0.7" right="0.7" top="0.75" bottom="0.75" header="0.3" footer="0.3"/>
  <x:tableParts count="1">
    <x:tablePart xmlns:r="http://schemas.openxmlformats.org/officeDocument/2006/relationships" r:id="R1de19d747fc04379"/>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58" hidden="0" customWidth="1"/>
  </x:cols>
  <x:sheetData>
    <x:row r="1">
      <x:c r="A1" s="5" t="str">
        <x:v>משפחת קודים</x:v>
      </x:c>
      <x:c r="B1" s="5" t="str">
        <x:v>קוד</x:v>
      </x:c>
      <x:c r="C1" s="5" t="str">
        <x:v>הסבר קצר</x:v>
      </x:c>
    </x:row>
    <x:row r="2">
      <x:c r="A2" s="23" t="str">
        <x:v>TDS</x:v>
      </x:c>
      <x:c r="B2" s="23" t="str">
        <x:v>TDS_COG</x:v>
      </x:c>
      <x:c r="C2" s="23" t="str">
        <x:v>הוראה ישירה או הדגמה של אסטרטגיה קוגניטיבית לעיבוד תוכן.</x:v>
      </x:c>
    </x:row>
    <x:row r="3">
      <x:c r="A3" s="23" t="str">
        <x:v>TDS</x:v>
      </x:c>
      <x:c r="B3" s="23" t="str">
        <x:v>TDS_META</x:v>
      </x:c>
      <x:c r="C3" s="23" t="str">
        <x:v>הוראה/הכוונה של תכנון, ניטור, בדיקה, בקרה או הערכה.</x:v>
      </x:c>
    </x:row>
    <x:row r="4">
      <x:c r="A4" s="23" t="str">
        <x:v>TDS</x:v>
      </x:c>
      <x:c r="B4" s="23" t="str">
        <x:v>TDS_MOT</x:v>
      </x:c>
      <x:c r="C4" s="23" t="str">
        <x:v>הוראה של אסטרטגיה לוויסות מאמץ, מוטיבציה או רגש.</x:v>
      </x:c>
    </x:row>
    <x:row r="5">
      <x:c r="A5" s="23" t="str">
        <x:v>TDS</x:v>
      </x:c>
      <x:c r="B5" s="23" t="str">
        <x:v>TDS_NONE</x:v>
      </x:c>
      <x:c r="C5" s="23" t="str">
        <x:v>אין הוראת אסטרטגיית SRL ישירה.</x:v>
      </x:c>
    </x:row>
    <x:row r="6">
      <x:c r="A6" s="23" t="str">
        <x:v>EX</x:v>
      </x:c>
      <x:c r="B6" s="23" t="str">
        <x:v>EX_IMPL</x:v>
      </x:c>
      <x:c r="C6" s="23" t="str">
        <x:v>אסטרטגיה קיימת אך אינה נקראת או מוסברת כאסטרטגיה.</x:v>
      </x:c>
    </x:row>
    <x:row r="7">
      <x:c r="A7" s="23" t="str">
        <x:v>EX</x:v>
      </x:c>
      <x:c r="B7" s="23" t="str">
        <x:v>EX_PART</x:v>
      </x:c>
      <x:c r="C7" s="23" t="str">
        <x:v>האסטרטגיה מסומנת חלקית, אך לא מוסברים מתי/למה/איך להשתמש בה.</x:v>
      </x:c>
    </x:row>
    <x:row r="8">
      <x:c r="A8" s="23" t="str">
        <x:v>EX</x:v>
      </x:c>
      <x:c r="B8" s="23" t="str">
        <x:v>EX_EXPL</x:v>
      </x:c>
      <x:c r="C8" s="23" t="str">
        <x:v>המורה הופך את האסטרטגיה למפורשת ומסביר את ערכה או השימוש בה.</x:v>
      </x:c>
    </x:row>
    <x:row r="9">
      <x:c r="A9" s="23" t="str">
        <x:v>SRL</x:v>
      </x:c>
      <x:c r="B9" s="23" t="str">
        <x:v>SRL_GOAL</x:v>
      </x:c>
      <x:c r="C9" s="23" t="str">
        <x:v>הגדרת מטרה, יעד הבנה או קריטריון הצלחה.</x:v>
      </x:c>
    </x:row>
    <x:row r="10">
      <x:c r="A10" s="23" t="str">
        <x:v>SRL</x:v>
      </x:c>
      <x:c r="B10" s="23" t="str">
        <x:v>SRL_COG</x:v>
      </x:c>
      <x:c r="C10" s="23" t="str">
        <x:v>שימוש באסטרטגיה קוגניטיבית כגון סיכום, ארגון, השוואה, ייצוג.</x:v>
      </x:c>
    </x:row>
    <x:row r="11">
      <x:c r="A11" s="23" t="str">
        <x:v>SRL</x:v>
      </x:c>
      <x:c r="B11" s="23" t="str">
        <x:v>SRL_MON</x:v>
      </x:c>
      <x:c r="C11" s="23" t="str">
        <x:v>ניטור הבנה, בלבול, דיוק, התקדמות או מקור ידע.</x:v>
      </x:c>
    </x:row>
    <x:row r="12">
      <x:c r="A12" s="23" t="str">
        <x:v>SRL</x:v>
      </x:c>
      <x:c r="B12" s="23" t="str">
        <x:v>SRL_HELP</x:v>
      </x:c>
      <x:c r="C12" s="23" t="str">
        <x:v>פנייה או הכוונה לעזרה ממוקדת.</x:v>
      </x:c>
    </x:row>
    <x:row r="13">
      <x:c r="A13" s="23" t="str">
        <x:v>ST</x:v>
      </x:c>
      <x:c r="B13" s="23" t="str">
        <x:v>ST_HELP</x:v>
      </x:c>
      <x:c r="C13" s="23" t="str">
        <x:v>תלמיד מבקש הבהרה, הסבר או תמיכה משמעותית ללמידה.</x:v>
      </x:c>
    </x:row>
    <x:row r="14">
      <x:c r="A14" s="23" t="str">
        <x:v>ST</x:v>
      </x:c>
      <x:c r="B14" s="23" t="str">
        <x:v>ST_MON</x:v>
      </x:c>
      <x:c r="C14" s="23" t="str">
        <x:v>תלמיד מבטא בדיקה, אי־ודאות או זיהוי קושי בהבנה.</x:v>
      </x:c>
    </x:row>
    <x:row r="15">
      <x:c r="A15" s="23" t="str">
        <x:v>TA</x:v>
      </x:c>
      <x:c r="B15" s="23" t="str">
        <x:v>TA1</x:v>
      </x:c>
      <x:c r="C15" s="23" t="str">
        <x:v>תגובה מוגבלת: תיקון, אישור או הסבר קצר.</x:v>
      </x:c>
    </x:row>
    <x:row r="16">
      <x:c r="A16" s="23" t="str">
        <x:v>TA</x:v>
      </x:c>
      <x:c r="B16" s="23" t="str">
        <x:v>TA2</x:v>
      </x:c>
      <x:c r="C16" s="23" t="str">
        <x:v>התאמה ברורה: המורה משנה הסבר או מענה לפי עדות תלמיד.</x:v>
      </x:c>
    </x:row>
    <x:row r="17">
      <x:c r="A17" s="23" t="str">
        <x:v>TA</x:v>
      </x:c>
      <x:c r="B17" s="23" t="str">
        <x:v>TA3</x:v>
      </x:c>
      <x:c r="C17" s="23" t="str">
        <x:v>התאמה חזקה התומכת ב־SRL, למשל שימוש בבלבול כדי לבנות כלי ניטור או תכנון.</x:v>
      </x:c>
    </x:row>
    <x:row r="18">
      <x:c r="A18" s="23" t="str">
        <x:v>MO</x:v>
      </x:c>
      <x:c r="B18" s="23" t="str">
        <x:v>MO_NONE</x:v>
      </x:c>
      <x:c r="C18" s="23" t="str">
        <x:v>אין הזדמנות מוחמצת ברורה.</x:v>
      </x:c>
    </x:row>
    <x:row r="19">
      <x:c r="A19" s="23" t="str">
        <x:v>MO</x:v>
      </x:c>
      <x:c r="B19" s="23" t="str">
        <x:v>MO_EXPL</x:v>
      </x:c>
      <x:c r="C19" s="23" t="str">
        <x:v>אסטרטגיה קיימת אך לא נעשית מפורשת.</x:v>
      </x:c>
    </x:row>
    <x:row r="20">
      <x:c r="A20" s="23" t="str">
        <x:v>MO</x:v>
      </x:c>
      <x:c r="B20" s="23" t="str">
        <x:v>MO_EVID</x:v>
      </x:c>
      <x:c r="C20" s="23" t="str">
        <x:v>הוחמצה דרישה לעדות, מקור, נימוק או ביסוס.</x:v>
      </x:c>
    </x:row>
    <x:row r="21">
      <x:c r="A21" s="23" t="str">
        <x:v>MO</x:v>
      </x:c>
      <x:c r="B21" s="23" t="str">
        <x:v>MO_REFL</x:v>
      </x:c>
      <x:c r="C21" s="23" t="str">
        <x:v>הוחמצה רפלקציה על תהליך, אסטרטגיה או למידה.</x:v>
      </x:c>
    </x:row>
    <x:row r="22">
      <x:c r="A22" s="23" t="str">
        <x:v>Q</x:v>
      </x:c>
      <x:c r="B22" s="23" t="str">
        <x:v>Q0</x:v>
      </x:c>
      <x:c r="C22" s="23" t="str">
        <x:v>לא SRL.</x:v>
      </x:c>
    </x:row>
    <x:row r="23">
      <x:c r="A23" s="23" t="str">
        <x:v>Q</x:v>
      </x:c>
      <x:c r="B23" s="23" t="str">
        <x:v>Q1</x:v>
      </x:c>
      <x:c r="C23" s="23" t="str">
        <x:v>תמיכת SRL נמוכה או מרומזת בלבד.</x:v>
      </x:c>
    </x:row>
    <x:row r="24">
      <x:c r="A24" s="23" t="str">
        <x:v>Q</x:v>
      </x:c>
      <x:c r="B24" s="23" t="str">
        <x:v>Q2</x:v>
      </x:c>
      <x:c r="C24" s="23" t="str">
        <x:v>תמיכת SRL בינונית: קיימת אך חלקית או ללא uptake משמעותי.</x:v>
      </x:c>
    </x:row>
    <x:row r="25">
      <x:c r="A25" s="23" t="str">
        <x:v>Q</x:v>
      </x:c>
      <x:c r="B25" s="23" t="str">
        <x:v>Q3</x:v>
      </x:c>
      <x:c r="C25" s="23" t="str">
        <x:v>תמיכת SRL גבוהה: מפורשת, מותאמת או עם עדות תלמידים משמעותית.</x:v>
      </x:c>
    </x:row>
    <x:row r="26">
      <x:c r="A26" s="23" t="str">
        <x:v>EV</x:v>
      </x:c>
      <x:c r="B26" s="23" t="str">
        <x:v>EV1–EV3</x:v>
      </x:c>
      <x:c r="C26" s="23" t="str">
        <x:v>עוצמת העדות: חלשה, בינונית, חזקה.</x:v>
      </x:c>
    </x:row>
  </x:sheetData>
  <x:pageMargins left="0.7" right="0.7" top="0.75" bottom="0.75" header="0.3" footer="0.3"/>
  <x:tableParts count="1">
    <x:tablePart xmlns:r="http://schemas.openxmlformats.org/officeDocument/2006/relationships" r:id="Re6852dd804044a58"/>
  </x:tableParts>
</x:worksheet>
</file>

<file path=xl/worksheets/sheet5.xml><?xml version="1.0" encoding="utf-8"?>
<x:worksheet xmlns:x="http://schemas.openxmlformats.org/spreadsheetml/2006/main">
  <x:sheetFormatPr defaultRowHeight="15"/>
  <x:cols>
    <x:col min="1" max="1" width="22" hidden="0" customWidth="1"/>
    <x:col min="2" max="2" width="80" hidden="0" customWidth="1"/>
  </x:cols>
  <x:sheetData>
    <x:row r="1">
      <x:c r="A1" s="5" t="str">
        <x:v>נושא</x:v>
      </x:c>
      <x:c r="B1" s="5" t="str">
        <x:v>הערה</x:v>
      </x:c>
    </x:row>
    <x:row r="2">
      <x:c r="A2" s="23" t="str">
        <x:v>בסיס הניתוח</x:v>
      </x:c>
      <x:c r="B2" s="23" t="str">
        <x:v>הניתוח מבוסס על קובץ VTT בלבד: caption-track (16).vtt. לא בוצעה צפייה בווידאו ולא נותחו מחוות, מבטים, תנועת תלמידים או שימוש בלוח.</x:v>
      </x:c>
    </x:row>
    <x:row r="3">
      <x:c r="A3" s="23" t="str">
        <x:v>היקף הקטע</x:v>
      </x:c>
      <x:c r="B3" s="23" t="str">
        <x:v>הקובץ כולל כ־3:50 דקות בלבד, ולכן הדירוגים הכלליים ודירוגי סביבת הלמידה משקפים קטע קצר ולא שיעור מלא.</x:v>
      </x:c>
    </x:row>
    <x:row r="4">
      <x:c r="A4" s="23" t="str">
        <x:v>תחום הדעת</x:v>
      </x:c>
      <x:c r="B4" s="23" t="str">
        <x:v>זהו שיעור תנ״ך ולא שיעור מדעים. לכן קודי SCI סומנו כ־SCI_NONE, אך קודי SRL הכלליים קודדו כרגיל.</x:v>
      </x:c>
    </x:row>
    <x:row r="5">
      <x:c r="A5" s="23" t="str">
        <x:v>אמינות תמלול</x:v>
      </x:c>
      <x:c r="B5" s="23" t="str">
        <x:v>יש בתמלול שיבושים אוטומטיים וחסרים בדברי תלמידים. לכן confidence משקף את רמת הביטחון על בסיס הטקסט בלבד.</x:v>
      </x:c>
    </x:row>
    <x:row r="6">
      <x:c r="A6" s="23" t="str">
        <x:v>כלל הכרעה</x:v>
      </x:c>
      <x:c r="B6" s="23" t="str">
        <x:v>קוד Q3 ניתן רק כאשר הייתה עדות ברורה לתמיכת SRL משמעותית: זיהוי קושי, הגדרת מטרה, התאמת הוראה או אסטרטגיית ארגון מפורשת.</x:v>
      </x:c>
    </x:row>
    <x:row r="7">
      <x:c r="A7" s="23" t="str">
        <x:v>המלצה להמשך</x:v>
      </x:c>
      <x:c r="B7" s="23" t="str">
        <x:v>אם יתאפשר לנתח גם את הווידאו, כדאי לבדוק האם בניית ציר הזמן לוותה בייצוג חזותי על הלוח. במקרה כזה ייתכן שנוסיף קידוד של אסטרטגיית ייצוג חזותי.</x:v>
      </x:c>
    </x:row>
  </x:sheetData>
  <x:pageMargins left="0.7" right="0.7" top="0.75" bottom="0.75" header="0.3" footer="0.3"/>
  <x:tableParts count="1">
    <x:tablePart xmlns:r="http://schemas.openxmlformats.org/officeDocument/2006/relationships" r:id="R1d03e10fb95349e9"/>
  </x:tableParts>
</x:worksheet>
</file>